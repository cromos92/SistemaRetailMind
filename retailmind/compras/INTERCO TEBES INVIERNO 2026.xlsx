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INTERCO INV 2026\INVIERNO 2026 Y ESCOLAR\"/>
    </mc:Choice>
  </mc:AlternateContent>
  <xr:revisionPtr revIDLastSave="0" documentId="13_ncr:1_{67762628-774A-47F3-96CB-10D37C73E5E0}" xr6:coauthVersionLast="47" xr6:coauthVersionMax="47" xr10:uidLastSave="{00000000-0000-0000-0000-000000000000}"/>
  <bookViews>
    <workbookView xWindow="-120" yWindow="-120" windowWidth="29040" windowHeight="15720" tabRatio="605" xr2:uid="{00000000-000D-0000-FFFF-FFFF00000000}"/>
  </bookViews>
  <sheets>
    <sheet name="Lista precios" sheetId="1" r:id="rId1"/>
  </sheets>
  <definedNames>
    <definedName name="_xlnm._FilterDatabase" localSheetId="0" hidden="1">'Lista precios'!$A$7:$GI$162</definedName>
    <definedName name="_xlnm.Print_Area" localSheetId="0">'Lista precios'!$A$1:$AC$163</definedName>
    <definedName name="_xlnm.Print_Titles" localSheetId="0">'Lista precios'!$6:$7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3" i="1" l="1"/>
  <c r="AA47" i="1"/>
  <c r="AA67" i="1"/>
  <c r="AA71" i="1"/>
  <c r="AA75" i="1"/>
  <c r="AA87" i="1"/>
  <c r="AA88" i="1"/>
  <c r="AA100" i="1"/>
  <c r="AA101" i="1"/>
  <c r="AA104" i="1"/>
  <c r="AA105" i="1"/>
  <c r="AA106" i="1"/>
  <c r="AA108" i="1"/>
  <c r="AA109" i="1"/>
  <c r="AA110" i="1"/>
  <c r="AA111" i="1"/>
  <c r="AA112" i="1"/>
  <c r="AA116" i="1"/>
  <c r="AA121" i="1"/>
  <c r="AA123" i="1"/>
  <c r="AA124" i="1"/>
  <c r="AA140" i="1"/>
  <c r="AA141" i="1"/>
  <c r="AA144" i="1"/>
  <c r="AA145" i="1"/>
  <c r="AA147" i="1"/>
  <c r="AA148" i="1"/>
  <c r="AA152" i="1"/>
  <c r="AA155" i="1"/>
  <c r="AA156" i="1"/>
  <c r="AA24" i="1"/>
  <c r="AA25" i="1"/>
  <c r="AA26" i="1"/>
  <c r="AA27" i="1"/>
  <c r="AA28" i="1"/>
  <c r="AA29" i="1"/>
  <c r="AA31" i="1"/>
  <c r="AA17" i="1"/>
  <c r="AA14" i="1"/>
  <c r="AA9" i="1"/>
  <c r="Y163" i="1"/>
  <c r="Z163" i="1"/>
  <c r="X163" i="1"/>
  <c r="AA163" i="1" l="1"/>
</calcChain>
</file>

<file path=xl/sharedStrings.xml><?xml version="1.0" encoding="utf-8"?>
<sst xmlns="http://schemas.openxmlformats.org/spreadsheetml/2006/main" count="623" uniqueCount="153">
  <si>
    <t>AMARILLO</t>
  </si>
  <si>
    <t>FOTO</t>
  </si>
  <si>
    <t>ART.</t>
  </si>
  <si>
    <t>TIPO</t>
  </si>
  <si>
    <t xml:space="preserve"> USO</t>
  </si>
  <si>
    <t>OTRAS</t>
  </si>
  <si>
    <t>TALLA</t>
  </si>
  <si>
    <t>PRECIO</t>
  </si>
  <si>
    <t>DETALLE DE CURVA</t>
  </si>
  <si>
    <t>PRODUCTO</t>
  </si>
  <si>
    <t>MARCA</t>
  </si>
  <si>
    <t>MATERIALES</t>
  </si>
  <si>
    <t>COLOR</t>
  </si>
  <si>
    <t>TEMP.</t>
  </si>
  <si>
    <t>GENERO</t>
  </si>
  <si>
    <t>DE PRODUCTO</t>
  </si>
  <si>
    <t>CARACT</t>
  </si>
  <si>
    <t>LISTA</t>
  </si>
  <si>
    <t>02</t>
  </si>
  <si>
    <t>03</t>
  </si>
  <si>
    <t>11</t>
  </si>
  <si>
    <t>NIÑO</t>
  </si>
  <si>
    <t>VESTIR</t>
  </si>
  <si>
    <t>01</t>
  </si>
  <si>
    <t>BLANCO</t>
  </si>
  <si>
    <t>NIÑO-M</t>
  </si>
  <si>
    <t>ZAPATO</t>
  </si>
  <si>
    <t>CUERO</t>
  </si>
  <si>
    <t>NEGRO CHAROL</t>
  </si>
  <si>
    <t>09</t>
  </si>
  <si>
    <t>26 - 29</t>
  </si>
  <si>
    <t>TPR</t>
  </si>
  <si>
    <t>20</t>
  </si>
  <si>
    <t>NEGRO PU</t>
  </si>
  <si>
    <t>30 - 35</t>
  </si>
  <si>
    <t>BAMBOO</t>
  </si>
  <si>
    <t>PU</t>
  </si>
  <si>
    <t>OI</t>
  </si>
  <si>
    <t>BOTIN</t>
  </si>
  <si>
    <t>CASUAL</t>
  </si>
  <si>
    <t>PIEL SINTETICA</t>
  </si>
  <si>
    <t>CIERRE INTERIOR</t>
  </si>
  <si>
    <t>PU NOBUCK</t>
  </si>
  <si>
    <t>TEXTIL</t>
  </si>
  <si>
    <t>PU / TEXTIL</t>
  </si>
  <si>
    <t>CAFÉ</t>
  </si>
  <si>
    <t>CIERRE</t>
  </si>
  <si>
    <t>MICROFIBRA</t>
  </si>
  <si>
    <t xml:space="preserve">CORDON </t>
  </si>
  <si>
    <t>PHYLON / TPR</t>
  </si>
  <si>
    <t>NEGRO</t>
  </si>
  <si>
    <t>BOTA</t>
  </si>
  <si>
    <t>16</t>
  </si>
  <si>
    <t>CARAMELO</t>
  </si>
  <si>
    <t>26</t>
  </si>
  <si>
    <t>TAUPE</t>
  </si>
  <si>
    <t>NIÑO-H</t>
  </si>
  <si>
    <t>GRIS</t>
  </si>
  <si>
    <t>30 - 34</t>
  </si>
  <si>
    <t>TT</t>
  </si>
  <si>
    <t>13</t>
  </si>
  <si>
    <t>TOSTADO</t>
  </si>
  <si>
    <t>CORDON</t>
  </si>
  <si>
    <t>30 - 33</t>
  </si>
  <si>
    <t xml:space="preserve">BOTIN </t>
  </si>
  <si>
    <t>PVC</t>
  </si>
  <si>
    <t>ZAPATILLA</t>
  </si>
  <si>
    <t>URBANA</t>
  </si>
  <si>
    <t xml:space="preserve">ELASTICO / VELCRO </t>
  </si>
  <si>
    <t>OUTDOOR</t>
  </si>
  <si>
    <t>PHYLON / GOMA</t>
  </si>
  <si>
    <t>35 - 40</t>
  </si>
  <si>
    <t>UNS</t>
  </si>
  <si>
    <t>BLANCO / GRIS</t>
  </si>
  <si>
    <t>MUJER</t>
  </si>
  <si>
    <t xml:space="preserve">MUJER </t>
  </si>
  <si>
    <t>TACO BAJO</t>
  </si>
  <si>
    <t>39 - 44</t>
  </si>
  <si>
    <t xml:space="preserve">ALQUIMIA </t>
  </si>
  <si>
    <t>MEMORY FOAM</t>
  </si>
  <si>
    <t>PLATAFORMA</t>
  </si>
  <si>
    <t>TACO CUADRADO</t>
  </si>
  <si>
    <t>36 - 41</t>
  </si>
  <si>
    <t>06</t>
  </si>
  <si>
    <t>BEIGE</t>
  </si>
  <si>
    <t>ALQUIMIA</t>
  </si>
  <si>
    <t>GOMA</t>
  </si>
  <si>
    <t>TERRAPLEN</t>
  </si>
  <si>
    <t xml:space="preserve">MICROFIBRA </t>
  </si>
  <si>
    <t xml:space="preserve">BOTA </t>
  </si>
  <si>
    <t xml:space="preserve">URBANA </t>
  </si>
  <si>
    <t xml:space="preserve">TT </t>
  </si>
  <si>
    <t>HOMBRE</t>
  </si>
  <si>
    <t xml:space="preserve">NEGRO </t>
  </si>
  <si>
    <t>LONDON ADIXT</t>
  </si>
  <si>
    <t>CAÑA ALTA</t>
  </si>
  <si>
    <t>NUBUCK PU</t>
  </si>
  <si>
    <t>PU / MICROFIBRA</t>
  </si>
  <si>
    <t>10</t>
  </si>
  <si>
    <t>40 - 45</t>
  </si>
  <si>
    <t>COLECCIÓN OTOÑO INVIERNO 2026</t>
  </si>
  <si>
    <t>PU 7 TEXTIL</t>
  </si>
  <si>
    <t>NIÑO- M</t>
  </si>
  <si>
    <t>28 - 33</t>
  </si>
  <si>
    <t>UNISPORT</t>
  </si>
  <si>
    <t>BLANCO / NEGRO</t>
  </si>
  <si>
    <t>BLANCO / ROSADO</t>
  </si>
  <si>
    <t>NEGRO / ROJO</t>
  </si>
  <si>
    <t>3101</t>
  </si>
  <si>
    <t xml:space="preserve"> MICROFIBRA </t>
  </si>
  <si>
    <t xml:space="preserve">TEXTIL  </t>
  </si>
  <si>
    <t xml:space="preserve">TEXTIL MICROFIBRA </t>
  </si>
  <si>
    <t>PLANTILLA PANAL</t>
  </si>
  <si>
    <t xml:space="preserve">BLANCO </t>
  </si>
  <si>
    <t>34 - 40</t>
  </si>
  <si>
    <t>40 - 44</t>
  </si>
  <si>
    <t>9010</t>
  </si>
  <si>
    <t>39 - 45</t>
  </si>
  <si>
    <t>9013</t>
  </si>
  <si>
    <t>34 - 38</t>
  </si>
  <si>
    <t>9028</t>
  </si>
  <si>
    <t>EVA / TPR</t>
  </si>
  <si>
    <t>FUTBOL</t>
  </si>
  <si>
    <t>BABY</t>
  </si>
  <si>
    <t>NEGRO / VERDE</t>
  </si>
  <si>
    <t>9882</t>
  </si>
  <si>
    <t xml:space="preserve"> NEGRO </t>
  </si>
  <si>
    <t>9911</t>
  </si>
  <si>
    <t>CAÑA BAJA</t>
  </si>
  <si>
    <t>ELASTICO INTERIROR</t>
  </si>
  <si>
    <t>CANTIDAD</t>
  </si>
  <si>
    <t>PA02</t>
  </si>
  <si>
    <t>PA03</t>
  </si>
  <si>
    <t>PA04</t>
  </si>
  <si>
    <t>TOTAL</t>
  </si>
  <si>
    <t>BLANCO/NEGRO</t>
  </si>
  <si>
    <t>BLANCO /ROSADO</t>
  </si>
  <si>
    <t>26-29</t>
  </si>
  <si>
    <t>30-35</t>
  </si>
  <si>
    <t>NEGRO/ROJO</t>
  </si>
  <si>
    <t>30-34</t>
  </si>
  <si>
    <t>28-33</t>
  </si>
  <si>
    <t>34-38</t>
  </si>
  <si>
    <t>39-44</t>
  </si>
  <si>
    <t>NO DESPACHAR</t>
  </si>
  <si>
    <t>12/FACT 191823</t>
  </si>
  <si>
    <t>15/FACT 191826</t>
  </si>
  <si>
    <t>15/FACT 191825</t>
  </si>
  <si>
    <t>15/FACT 191824</t>
  </si>
  <si>
    <t>15/fact 192267</t>
  </si>
  <si>
    <t>15/FACT 192502</t>
  </si>
  <si>
    <t>15/fact 192800</t>
  </si>
  <si>
    <t>15/fact 192801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</si>
</sst>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name val="Bookman Old Style"/>
      <family val="1"/>
    </font>
    <font>
      <sz val="18"/>
      <name val="Arial"/>
      <family val="2"/>
    </font>
    <font>
      <b/>
      <sz val="20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22"/>
      <color theme="1"/>
      <name val="Arial"/>
      <family val="2"/>
    </font>
    <font>
      <b/>
      <sz val="30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b/>
      <sz val="28"/>
      <name val="Arial"/>
      <family val="2"/>
    </font>
    <font>
      <sz val="24"/>
      <color theme="1"/>
      <name val="Arial"/>
      <family val="2"/>
    </font>
    <font>
      <sz val="30"/>
      <color theme="1"/>
      <name val="Aptos Narrow"/>
      <family val="2"/>
      <scheme val="minor"/>
    </font>
    <font>
      <sz val="30"/>
      <color theme="1"/>
      <name val="Arial"/>
      <family val="2"/>
    </font>
    <font>
      <b/>
      <sz val="28"/>
      <name val="Bookman Old Style"/>
      <family val="1"/>
    </font>
    <font>
      <b/>
      <sz val="26"/>
      <name val="Arial"/>
      <family val="2"/>
    </font>
    <font>
      <sz val="28"/>
      <name val="Bookman Old Style"/>
      <family val="1"/>
    </font>
    <font>
      <b/>
      <sz val="30"/>
      <color theme="1"/>
      <name val="Bookman Old Style"/>
      <family val="1"/>
    </font>
    <font>
      <b/>
      <sz val="24"/>
      <color theme="1"/>
      <name val="Bookman Old Style"/>
      <family val="1"/>
    </font>
    <font>
      <b/>
      <sz val="36"/>
      <name val="Arial"/>
      <family val="2"/>
    </font>
    <font>
      <b/>
      <sz val="30"/>
      <name val="Arial"/>
      <family val="2"/>
    </font>
    <font>
      <b/>
      <sz val="42"/>
      <name val="Bookman Old Style"/>
      <family val="1"/>
    </font>
    <font>
      <b/>
      <sz val="20"/>
      <color theme="1"/>
      <name val="Arial"/>
      <family val="2"/>
    </font>
    <font>
      <sz val="28"/>
      <name val="Arial"/>
      <family val="2"/>
    </font>
    <font>
      <b/>
      <sz val="36"/>
      <name val="Bookman Old Style"/>
      <family val="1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theme="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FD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399">
    <xf numFmtId="0" fontId="0" fillId="0" borderId="0" xfId="0"/>
    <xf numFmtId="0" fontId="3" fillId="0" borderId="0" xfId="0" applyFont="1"/>
    <xf numFmtId="3" fontId="4" fillId="0" borderId="0" xfId="0" applyNumberFormat="1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wrapText="1"/>
    </xf>
    <xf numFmtId="164" fontId="1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/>
    </xf>
    <xf numFmtId="0" fontId="8" fillId="0" borderId="3" xfId="0" applyFont="1" applyBorder="1"/>
    <xf numFmtId="0" fontId="6" fillId="0" borderId="4" xfId="0" applyFont="1" applyBorder="1"/>
    <xf numFmtId="0" fontId="8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/>
    </xf>
    <xf numFmtId="0" fontId="5" fillId="7" borderId="12" xfId="0" applyFont="1" applyFill="1" applyBorder="1"/>
    <xf numFmtId="0" fontId="6" fillId="7" borderId="12" xfId="0" applyFont="1" applyFill="1" applyBorder="1"/>
    <xf numFmtId="49" fontId="6" fillId="0" borderId="1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49" fontId="6" fillId="0" borderId="29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4" fontId="12" fillId="0" borderId="7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49" fontId="6" fillId="0" borderId="24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25" xfId="0" applyFont="1" applyBorder="1"/>
    <xf numFmtId="0" fontId="6" fillId="0" borderId="27" xfId="0" applyFont="1" applyBorder="1"/>
    <xf numFmtId="164" fontId="12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49" fontId="6" fillId="0" borderId="52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49" fontId="6" fillId="0" borderId="46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4" borderId="14" xfId="0" applyFont="1" applyFill="1" applyBorder="1"/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/>
    <xf numFmtId="0" fontId="6" fillId="3" borderId="16" xfId="0" applyFont="1" applyFill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9" borderId="12" xfId="0" applyFont="1" applyFill="1" applyBorder="1"/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3" fontId="6" fillId="0" borderId="19" xfId="0" applyNumberFormat="1" applyFont="1" applyBorder="1" applyAlignment="1">
      <alignment horizontal="center"/>
    </xf>
    <xf numFmtId="3" fontId="6" fillId="0" borderId="30" xfId="0" applyNumberFormat="1" applyFont="1" applyBorder="1" applyAlignment="1">
      <alignment horizontal="center"/>
    </xf>
    <xf numFmtId="3" fontId="6" fillId="0" borderId="35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49" fontId="6" fillId="6" borderId="29" xfId="0" applyNumberFormat="1" applyFont="1" applyFill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49" fontId="6" fillId="0" borderId="47" xfId="0" applyNumberFormat="1" applyFont="1" applyBorder="1" applyAlignment="1">
      <alignment horizontal="center"/>
    </xf>
    <xf numFmtId="3" fontId="6" fillId="0" borderId="28" xfId="0" applyNumberFormat="1" applyFont="1" applyBorder="1" applyAlignment="1">
      <alignment horizontal="center"/>
    </xf>
    <xf numFmtId="3" fontId="6" fillId="0" borderId="23" xfId="0" applyNumberFormat="1" applyFont="1" applyBorder="1" applyAlignment="1">
      <alignment horizontal="center"/>
    </xf>
    <xf numFmtId="3" fontId="6" fillId="0" borderId="40" xfId="0" applyNumberFormat="1" applyFont="1" applyBorder="1" applyAlignment="1">
      <alignment horizontal="center"/>
    </xf>
    <xf numFmtId="0" fontId="7" fillId="0" borderId="31" xfId="0" applyFont="1" applyBorder="1"/>
    <xf numFmtId="0" fontId="7" fillId="0" borderId="28" xfId="0" applyFont="1" applyBorder="1"/>
    <xf numFmtId="0" fontId="5" fillId="0" borderId="16" xfId="0" applyFont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10" borderId="20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8" fillId="0" borderId="8" xfId="0" applyFont="1" applyBorder="1"/>
    <xf numFmtId="0" fontId="7" fillId="0" borderId="47" xfId="0" applyFont="1" applyBorder="1"/>
    <xf numFmtId="0" fontId="7" fillId="0" borderId="48" xfId="0" applyFont="1" applyBorder="1"/>
    <xf numFmtId="0" fontId="7" fillId="0" borderId="49" xfId="0" applyFont="1" applyBorder="1"/>
    <xf numFmtId="0" fontId="7" fillId="0" borderId="51" xfId="0" applyFont="1" applyBorder="1"/>
    <xf numFmtId="0" fontId="6" fillId="0" borderId="50" xfId="0" applyFont="1" applyBorder="1" applyAlignment="1">
      <alignment horizontal="center"/>
    </xf>
    <xf numFmtId="0" fontId="6" fillId="10" borderId="17" xfId="0" applyFont="1" applyFill="1" applyBorder="1" applyAlignment="1">
      <alignment horizontal="center"/>
    </xf>
    <xf numFmtId="3" fontId="7" fillId="0" borderId="42" xfId="0" applyNumberFormat="1" applyFont="1" applyBorder="1" applyAlignment="1">
      <alignment horizontal="center"/>
    </xf>
    <xf numFmtId="3" fontId="6" fillId="0" borderId="32" xfId="0" applyNumberFormat="1" applyFont="1" applyBorder="1" applyAlignment="1">
      <alignment horizontal="center"/>
    </xf>
    <xf numFmtId="49" fontId="6" fillId="6" borderId="24" xfId="0" applyNumberFormat="1" applyFont="1" applyFill="1" applyBorder="1" applyAlignment="1">
      <alignment horizontal="center"/>
    </xf>
    <xf numFmtId="3" fontId="6" fillId="0" borderId="31" xfId="0" applyNumberFormat="1" applyFont="1" applyBorder="1" applyAlignment="1">
      <alignment horizontal="center"/>
    </xf>
    <xf numFmtId="3" fontId="7" fillId="0" borderId="25" xfId="0" applyNumberFormat="1" applyFont="1" applyBorder="1" applyAlignment="1">
      <alignment horizontal="center"/>
    </xf>
    <xf numFmtId="3" fontId="7" fillId="0" borderId="26" xfId="0" applyNumberFormat="1" applyFont="1" applyBorder="1" applyAlignment="1">
      <alignment horizontal="center"/>
    </xf>
    <xf numFmtId="3" fontId="7" fillId="0" borderId="23" xfId="0" applyNumberFormat="1" applyFont="1" applyBorder="1" applyAlignment="1">
      <alignment horizontal="center"/>
    </xf>
    <xf numFmtId="3" fontId="7" fillId="0" borderId="3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6" fillId="10" borderId="18" xfId="0" applyNumberFormat="1" applyFont="1" applyFill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8" xfId="0" applyFont="1" applyBorder="1"/>
    <xf numFmtId="0" fontId="20" fillId="0" borderId="1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8" fillId="0" borderId="1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" fontId="26" fillId="0" borderId="1" xfId="0" applyNumberFormat="1" applyFont="1" applyBorder="1" applyAlignment="1">
      <alignment vertical="center" wrapText="1"/>
    </xf>
    <xf numFmtId="1" fontId="26" fillId="0" borderId="7" xfId="0" applyNumberFormat="1" applyFont="1" applyBorder="1" applyAlignment="1">
      <alignment vertical="center" wrapText="1"/>
    </xf>
    <xf numFmtId="1" fontId="26" fillId="0" borderId="6" xfId="0" applyNumberFormat="1" applyFont="1" applyBorder="1" applyAlignment="1">
      <alignment vertical="center" wrapText="1"/>
    </xf>
    <xf numFmtId="0" fontId="19" fillId="0" borderId="0" xfId="0" applyFont="1"/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8" fillId="0" borderId="0" xfId="0" applyNumberFormat="1" applyFont="1" applyAlignment="1">
      <alignment horizontal="center"/>
    </xf>
    <xf numFmtId="3" fontId="19" fillId="0" borderId="1" xfId="0" applyNumberFormat="1" applyFont="1" applyBorder="1" applyAlignment="1">
      <alignment horizontal="center"/>
    </xf>
    <xf numFmtId="0" fontId="24" fillId="7" borderId="11" xfId="0" applyFont="1" applyFill="1" applyBorder="1" applyAlignment="1">
      <alignment horizontal="left"/>
    </xf>
    <xf numFmtId="0" fontId="29" fillId="9" borderId="11" xfId="0" applyFont="1" applyFill="1" applyBorder="1" applyAlignment="1">
      <alignment horizontal="left"/>
    </xf>
    <xf numFmtId="0" fontId="21" fillId="0" borderId="0" xfId="0" applyFont="1"/>
    <xf numFmtId="0" fontId="4" fillId="0" borderId="0" xfId="0" applyFont="1"/>
    <xf numFmtId="15" fontId="15" fillId="0" borderId="0" xfId="0" applyNumberFormat="1" applyFont="1"/>
    <xf numFmtId="15" fontId="15" fillId="0" borderId="0" xfId="0" applyNumberFormat="1" applyFont="1" applyAlignment="1">
      <alignment horizontal="center"/>
    </xf>
    <xf numFmtId="3" fontId="19" fillId="0" borderId="8" xfId="0" applyNumberFormat="1" applyFont="1" applyBorder="1" applyAlignment="1">
      <alignment horizontal="center"/>
    </xf>
    <xf numFmtId="15" fontId="6" fillId="0" borderId="9" xfId="0" applyNumberFormat="1" applyFont="1" applyBorder="1"/>
    <xf numFmtId="3" fontId="2" fillId="0" borderId="6" xfId="0" applyNumberFormat="1" applyFont="1" applyBorder="1" applyAlignment="1">
      <alignment horizontal="center" wrapText="1"/>
    </xf>
    <xf numFmtId="0" fontId="8" fillId="0" borderId="10" xfId="0" applyFont="1" applyBorder="1"/>
    <xf numFmtId="0" fontId="8" fillId="0" borderId="9" xfId="0" applyFont="1" applyBorder="1"/>
    <xf numFmtId="0" fontId="29" fillId="4" borderId="8" xfId="0" applyFont="1" applyFill="1" applyBorder="1" applyAlignment="1">
      <alignment horizontal="left"/>
    </xf>
    <xf numFmtId="0" fontId="2" fillId="10" borderId="0" xfId="0" applyFont="1" applyFill="1"/>
    <xf numFmtId="0" fontId="19" fillId="10" borderId="0" xfId="0" applyFont="1" applyFill="1"/>
    <xf numFmtId="0" fontId="2" fillId="10" borderId="1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 vertical="center" wrapText="1"/>
    </xf>
    <xf numFmtId="165" fontId="25" fillId="10" borderId="6" xfId="0" applyNumberFormat="1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49" fontId="25" fillId="10" borderId="2" xfId="0" applyNumberFormat="1" applyFont="1" applyFill="1" applyBorder="1" applyAlignment="1">
      <alignment horizontal="center"/>
    </xf>
    <xf numFmtId="49" fontId="25" fillId="10" borderId="1" xfId="0" applyNumberFormat="1" applyFont="1" applyFill="1" applyBorder="1" applyAlignment="1">
      <alignment horizontal="center"/>
    </xf>
    <xf numFmtId="0" fontId="25" fillId="10" borderId="9" xfId="0" applyFont="1" applyFill="1" applyBorder="1" applyAlignment="1">
      <alignment horizontal="center" vertical="center" wrapText="1"/>
    </xf>
    <xf numFmtId="49" fontId="6" fillId="10" borderId="1" xfId="0" applyNumberFormat="1" applyFont="1" applyFill="1" applyBorder="1" applyAlignment="1">
      <alignment horizontal="center"/>
    </xf>
    <xf numFmtId="165" fontId="25" fillId="10" borderId="1" xfId="0" applyNumberFormat="1" applyFont="1" applyFill="1" applyBorder="1" applyAlignment="1">
      <alignment horizontal="center" vertical="center" wrapText="1"/>
    </xf>
    <xf numFmtId="165" fontId="25" fillId="10" borderId="13" xfId="0" applyNumberFormat="1" applyFont="1" applyFill="1" applyBorder="1" applyAlignment="1">
      <alignment horizontal="center" vertical="center" wrapText="1"/>
    </xf>
    <xf numFmtId="49" fontId="25" fillId="10" borderId="13" xfId="0" applyNumberFormat="1" applyFont="1" applyFill="1" applyBorder="1" applyAlignment="1">
      <alignment horizontal="center"/>
    </xf>
    <xf numFmtId="0" fontId="25" fillId="10" borderId="4" xfId="0" applyFont="1" applyFill="1" applyBorder="1" applyAlignment="1">
      <alignment horizontal="center" vertical="center" wrapText="1"/>
    </xf>
    <xf numFmtId="49" fontId="25" fillId="10" borderId="9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11" borderId="14" xfId="0" applyFont="1" applyFill="1" applyBorder="1" applyAlignment="1">
      <alignment horizontal="center" wrapText="1"/>
    </xf>
    <xf numFmtId="49" fontId="6" fillId="0" borderId="21" xfId="0" applyNumberFormat="1" applyFont="1" applyBorder="1" applyAlignment="1">
      <alignment horizontal="center"/>
    </xf>
    <xf numFmtId="49" fontId="6" fillId="0" borderId="33" xfId="0" applyNumberFormat="1" applyFont="1" applyBorder="1" applyAlignment="1">
      <alignment horizontal="center"/>
    </xf>
    <xf numFmtId="0" fontId="6" fillId="7" borderId="14" xfId="0" applyFont="1" applyFill="1" applyBorder="1"/>
    <xf numFmtId="0" fontId="6" fillId="4" borderId="0" xfId="0" applyFont="1" applyFill="1"/>
    <xf numFmtId="0" fontId="19" fillId="0" borderId="31" xfId="0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9" borderId="0" xfId="0" applyFont="1" applyFill="1"/>
    <xf numFmtId="14" fontId="6" fillId="3" borderId="11" xfId="0" applyNumberFormat="1" applyFont="1" applyFill="1" applyBorder="1" applyAlignment="1">
      <alignment horizontal="center"/>
    </xf>
    <xf numFmtId="3" fontId="23" fillId="0" borderId="8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22" fillId="0" borderId="5" xfId="0" applyNumberFormat="1" applyFont="1" applyBorder="1" applyAlignment="1">
      <alignment horizontal="center"/>
    </xf>
    <xf numFmtId="3" fontId="22" fillId="0" borderId="8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 wrapText="1"/>
    </xf>
    <xf numFmtId="3" fontId="23" fillId="0" borderId="5" xfId="0" applyNumberFormat="1" applyFont="1" applyBorder="1" applyAlignment="1">
      <alignment horizontal="center" vertical="center"/>
    </xf>
    <xf numFmtId="14" fontId="6" fillId="3" borderId="12" xfId="0" applyNumberFormat="1" applyFont="1" applyFill="1" applyBorder="1" applyAlignment="1">
      <alignment horizontal="center"/>
    </xf>
    <xf numFmtId="0" fontId="11" fillId="0" borderId="0" xfId="0" applyFont="1"/>
    <xf numFmtId="0" fontId="13" fillId="0" borderId="0" xfId="0" applyFont="1" applyAlignment="1">
      <alignment vertical="center"/>
    </xf>
    <xf numFmtId="0" fontId="19" fillId="0" borderId="32" xfId="0" applyFont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3" fontId="12" fillId="0" borderId="14" xfId="0" applyNumberFormat="1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/>
    </xf>
    <xf numFmtId="0" fontId="20" fillId="4" borderId="14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49" fontId="6" fillId="0" borderId="59" xfId="0" applyNumberFormat="1" applyFont="1" applyBorder="1" applyAlignment="1">
      <alignment horizontal="center"/>
    </xf>
    <xf numFmtId="49" fontId="6" fillId="0" borderId="60" xfId="0" applyNumberFormat="1" applyFont="1" applyBorder="1" applyAlignment="1">
      <alignment horizontal="center"/>
    </xf>
    <xf numFmtId="0" fontId="19" fillId="0" borderId="4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19" fillId="0" borderId="2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3" borderId="57" xfId="0" applyFont="1" applyFill="1" applyBorder="1" applyAlignment="1">
      <alignment horizontal="center" vertical="center"/>
    </xf>
    <xf numFmtId="0" fontId="32" fillId="3" borderId="57" xfId="0" applyFont="1" applyFill="1" applyBorder="1" applyAlignment="1">
      <alignment horizontal="center" vertical="center"/>
    </xf>
    <xf numFmtId="0" fontId="32" fillId="3" borderId="58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center" vertical="center"/>
    </xf>
    <xf numFmtId="49" fontId="6" fillId="3" borderId="22" xfId="0" applyNumberFormat="1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3" fontId="6" fillId="3" borderId="30" xfId="0" applyNumberFormat="1" applyFont="1" applyFill="1" applyBorder="1" applyAlignment="1">
      <alignment horizontal="center"/>
    </xf>
    <xf numFmtId="164" fontId="12" fillId="3" borderId="8" xfId="0" applyNumberFormat="1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0" fontId="7" fillId="3" borderId="37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3" fontId="6" fillId="3" borderId="40" xfId="0" applyNumberFormat="1" applyFont="1" applyFill="1" applyBorder="1" applyAlignment="1">
      <alignment horizontal="center"/>
    </xf>
    <xf numFmtId="0" fontId="0" fillId="3" borderId="10" xfId="0" applyFill="1" applyBorder="1"/>
    <xf numFmtId="0" fontId="31" fillId="3" borderId="37" xfId="0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3" fontId="6" fillId="3" borderId="19" xfId="0" applyNumberFormat="1" applyFont="1" applyFill="1" applyBorder="1" applyAlignment="1">
      <alignment horizontal="center"/>
    </xf>
    <xf numFmtId="164" fontId="12" fillId="3" borderId="14" xfId="0" applyNumberFormat="1" applyFont="1" applyFill="1" applyBorder="1" applyAlignment="1">
      <alignment horizontal="center"/>
    </xf>
    <xf numFmtId="0" fontId="31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164" fontId="12" fillId="3" borderId="3" xfId="0" applyNumberFormat="1" applyFont="1" applyFill="1" applyBorder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0" fontId="31" fillId="0" borderId="55" xfId="0" applyFont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center" vertical="center"/>
    </xf>
    <xf numFmtId="49" fontId="6" fillId="3" borderId="23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4" fontId="12" fillId="3" borderId="10" xfId="0" applyNumberFormat="1" applyFont="1" applyFill="1" applyBorder="1" applyAlignment="1">
      <alignment horizontal="center"/>
    </xf>
    <xf numFmtId="0" fontId="19" fillId="0" borderId="55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64" fontId="12" fillId="12" borderId="3" xfId="0" applyNumberFormat="1" applyFont="1" applyFill="1" applyBorder="1" applyAlignment="1">
      <alignment horizontal="center"/>
    </xf>
    <xf numFmtId="164" fontId="12" fillId="12" borderId="14" xfId="0" applyNumberFormat="1" applyFont="1" applyFill="1" applyBorder="1" applyAlignment="1">
      <alignment horizontal="center"/>
    </xf>
    <xf numFmtId="0" fontId="31" fillId="12" borderId="20" xfId="0" applyFont="1" applyFill="1" applyBorder="1" applyAlignment="1">
      <alignment horizontal="center" vertical="center"/>
    </xf>
    <xf numFmtId="0" fontId="31" fillId="12" borderId="17" xfId="0" applyFont="1" applyFill="1" applyBorder="1" applyAlignment="1">
      <alignment horizontal="center" vertical="center"/>
    </xf>
    <xf numFmtId="0" fontId="32" fillId="12" borderId="42" xfId="0" applyFont="1" applyFill="1" applyBorder="1" applyAlignment="1">
      <alignment horizontal="center" vertical="center"/>
    </xf>
    <xf numFmtId="0" fontId="35" fillId="12" borderId="31" xfId="0" applyFont="1" applyFill="1" applyBorder="1" applyAlignment="1">
      <alignment horizontal="center" vertical="center"/>
    </xf>
    <xf numFmtId="3" fontId="12" fillId="12" borderId="5" xfId="0" applyNumberFormat="1" applyFont="1" applyFill="1" applyBorder="1" applyAlignment="1">
      <alignment horizontal="center"/>
    </xf>
    <xf numFmtId="3" fontId="12" fillId="12" borderId="0" xfId="0" applyNumberFormat="1" applyFont="1" applyFill="1" applyAlignment="1">
      <alignment horizontal="center"/>
    </xf>
    <xf numFmtId="0" fontId="31" fillId="12" borderId="31" xfId="0" applyFont="1" applyFill="1" applyBorder="1" applyAlignment="1">
      <alignment horizontal="center" vertical="center"/>
    </xf>
    <xf numFmtId="0" fontId="31" fillId="12" borderId="28" xfId="0" applyFont="1" applyFill="1" applyBorder="1" applyAlignment="1">
      <alignment horizontal="center" vertical="center"/>
    </xf>
    <xf numFmtId="164" fontId="12" fillId="12" borderId="5" xfId="0" applyNumberFormat="1" applyFont="1" applyFill="1" applyBorder="1" applyAlignment="1">
      <alignment horizontal="center"/>
    </xf>
    <xf numFmtId="164" fontId="12" fillId="12" borderId="0" xfId="0" applyNumberFormat="1" applyFont="1" applyFill="1" applyAlignment="1">
      <alignment horizontal="center"/>
    </xf>
    <xf numFmtId="3" fontId="12" fillId="12" borderId="8" xfId="0" applyNumberFormat="1" applyFont="1" applyFill="1" applyBorder="1" applyAlignment="1">
      <alignment horizontal="center"/>
    </xf>
    <xf numFmtId="3" fontId="12" fillId="12" borderId="10" xfId="0" applyNumberFormat="1" applyFont="1" applyFill="1" applyBorder="1" applyAlignment="1">
      <alignment horizontal="center"/>
    </xf>
    <xf numFmtId="0" fontId="31" fillId="12" borderId="37" xfId="0" applyFont="1" applyFill="1" applyBorder="1" applyAlignment="1">
      <alignment horizontal="center" vertical="center"/>
    </xf>
    <xf numFmtId="0" fontId="31" fillId="12" borderId="38" xfId="0" applyFont="1" applyFill="1" applyBorder="1" applyAlignment="1">
      <alignment horizontal="center" vertical="center"/>
    </xf>
    <xf numFmtId="0" fontId="32" fillId="12" borderId="31" xfId="0" applyFont="1" applyFill="1" applyBorder="1" applyAlignment="1">
      <alignment horizontal="center" vertical="center"/>
    </xf>
    <xf numFmtId="0" fontId="31" fillId="12" borderId="49" xfId="0" applyFont="1" applyFill="1" applyBorder="1" applyAlignment="1">
      <alignment horizontal="center" vertical="center"/>
    </xf>
    <xf numFmtId="0" fontId="32" fillId="12" borderId="49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/>
    </xf>
    <xf numFmtId="0" fontId="6" fillId="12" borderId="20" xfId="0" applyFont="1" applyFill="1" applyBorder="1" applyAlignment="1">
      <alignment horizontal="center"/>
    </xf>
    <xf numFmtId="0" fontId="6" fillId="12" borderId="42" xfId="0" applyFont="1" applyFill="1" applyBorder="1" applyAlignment="1">
      <alignment horizontal="center"/>
    </xf>
    <xf numFmtId="0" fontId="32" fillId="12" borderId="20" xfId="0" applyFont="1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32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/>
    </xf>
    <xf numFmtId="0" fontId="6" fillId="12" borderId="25" xfId="0" applyFont="1" applyFill="1" applyBorder="1" applyAlignment="1">
      <alignment horizontal="center"/>
    </xf>
    <xf numFmtId="0" fontId="6" fillId="12" borderId="2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7" fillId="12" borderId="36" xfId="0" applyFont="1" applyFill="1" applyBorder="1" applyAlignment="1">
      <alignment horizontal="center"/>
    </xf>
    <xf numFmtId="0" fontId="7" fillId="12" borderId="45" xfId="0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0" fontId="7" fillId="12" borderId="41" xfId="0" applyFont="1" applyFill="1" applyBorder="1" applyAlignment="1">
      <alignment horizontal="center"/>
    </xf>
    <xf numFmtId="0" fontId="6" fillId="12" borderId="40" xfId="0" applyFont="1" applyFill="1" applyBorder="1" applyAlignment="1">
      <alignment horizontal="center"/>
    </xf>
    <xf numFmtId="164" fontId="12" fillId="12" borderId="8" xfId="0" applyNumberFormat="1" applyFont="1" applyFill="1" applyBorder="1" applyAlignment="1">
      <alignment horizontal="center"/>
    </xf>
    <xf numFmtId="164" fontId="12" fillId="12" borderId="10" xfId="0" applyNumberFormat="1" applyFont="1" applyFill="1" applyBorder="1" applyAlignment="1">
      <alignment horizontal="center"/>
    </xf>
    <xf numFmtId="0" fontId="32" fillId="12" borderId="37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49" fontId="26" fillId="10" borderId="22" xfId="0" applyNumberFormat="1" applyFont="1" applyFill="1" applyBorder="1" applyAlignment="1">
      <alignment horizontal="center" vertical="center"/>
    </xf>
    <xf numFmtId="49" fontId="26" fillId="10" borderId="9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49" fontId="26" fillId="10" borderId="7" xfId="0" applyNumberFormat="1" applyFont="1" applyFill="1" applyBorder="1" applyAlignment="1">
      <alignment horizontal="center" vertical="center"/>
    </xf>
    <xf numFmtId="49" fontId="26" fillId="10" borderId="6" xfId="0" applyNumberFormat="1" applyFont="1" applyFill="1" applyBorder="1" applyAlignment="1">
      <alignment horizontal="center" vertical="center"/>
    </xf>
    <xf numFmtId="49" fontId="26" fillId="10" borderId="1" xfId="0" applyNumberFormat="1" applyFont="1" applyFill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49" fontId="26" fillId="10" borderId="4" xfId="0" applyNumberFormat="1" applyFont="1" applyFill="1" applyBorder="1" applyAlignment="1">
      <alignment horizontal="center" vertical="center"/>
    </xf>
  </cellXfs>
  <cellStyles count="3">
    <cellStyle name="Normal" xfId="0" builtinId="0"/>
    <cellStyle name="Porcentaje 2" xfId="2" xr:uid="{00000000-0005-0000-0000-000001000000}"/>
    <cellStyle name="Porcentual 3" xfId="1" xr:uid="{00000000-0005-0000-0000-000002000000}"/>
  </cellStyles>
  <dxfs count="0"/>
  <tableStyles count="0" defaultTableStyle="TableStyleMedium2" defaultPivotStyle="PivotStyleLight16"/>
  <colors>
    <mruColors>
      <color rgb="FFFFAFAF"/>
      <color rgb="FFFFBE7D"/>
      <color rgb="FF4FD1FF"/>
      <color rgb="FFE2C5FF"/>
      <color rgb="FFFFFFCC"/>
      <color rgb="FFFFFF66"/>
      <color rgb="FFFACDB4"/>
      <color rgb="FF00FFFF"/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26" Type="http://schemas.openxmlformats.org/officeDocument/2006/relationships/image" Target="../media/image25.jpeg"/><Relationship Id="rId39" Type="http://schemas.openxmlformats.org/officeDocument/2006/relationships/image" Target="../media/image37.jpeg"/><Relationship Id="rId3" Type="http://schemas.openxmlformats.org/officeDocument/2006/relationships/image" Target="../media/image3.jpeg"/><Relationship Id="rId21" Type="http://schemas.openxmlformats.org/officeDocument/2006/relationships/image" Target="../media/image20.jpeg"/><Relationship Id="rId34" Type="http://schemas.openxmlformats.org/officeDocument/2006/relationships/image" Target="../media/image33.png"/><Relationship Id="rId7" Type="http://schemas.openxmlformats.org/officeDocument/2006/relationships/image" Target="../media/image6.jpeg"/><Relationship Id="rId12" Type="http://schemas.openxmlformats.org/officeDocument/2006/relationships/image" Target="../media/image11.jpeg"/><Relationship Id="rId17" Type="http://schemas.openxmlformats.org/officeDocument/2006/relationships/image" Target="../media/image16.jpeg"/><Relationship Id="rId25" Type="http://schemas.openxmlformats.org/officeDocument/2006/relationships/image" Target="../media/image24.jpeg"/><Relationship Id="rId33" Type="http://schemas.openxmlformats.org/officeDocument/2006/relationships/image" Target="../media/image32.jpeg"/><Relationship Id="rId38" Type="http://schemas.openxmlformats.org/officeDocument/2006/relationships/image" Target="../media/image36.png"/><Relationship Id="rId2" Type="http://schemas.openxmlformats.org/officeDocument/2006/relationships/image" Target="../media/image2.jpeg"/><Relationship Id="rId16" Type="http://schemas.openxmlformats.org/officeDocument/2006/relationships/image" Target="../media/image15.jpeg"/><Relationship Id="rId20" Type="http://schemas.openxmlformats.org/officeDocument/2006/relationships/image" Target="../media/image19.jpeg"/><Relationship Id="rId29" Type="http://schemas.openxmlformats.org/officeDocument/2006/relationships/image" Target="../media/image28.jpeg"/><Relationship Id="rId41" Type="http://schemas.openxmlformats.org/officeDocument/2006/relationships/image" Target="../media/image39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../media/image10.jpeg"/><Relationship Id="rId24" Type="http://schemas.openxmlformats.org/officeDocument/2006/relationships/image" Target="../media/image23.jpeg"/><Relationship Id="rId32" Type="http://schemas.openxmlformats.org/officeDocument/2006/relationships/image" Target="../media/image31.jpeg"/><Relationship Id="rId37" Type="http://schemas.openxmlformats.org/officeDocument/2006/relationships/image" Target="../media/image35.png"/><Relationship Id="rId40" Type="http://schemas.openxmlformats.org/officeDocument/2006/relationships/image" Target="../media/image38.jpeg"/><Relationship Id="rId5" Type="http://schemas.openxmlformats.org/officeDocument/2006/relationships/image" Target="../media/image4.jpeg"/><Relationship Id="rId15" Type="http://schemas.openxmlformats.org/officeDocument/2006/relationships/image" Target="../media/image14.jpe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36" Type="http://schemas.microsoft.com/office/2007/relationships/hdphoto" Target="../media/hdphoto2.wdp"/><Relationship Id="rId10" Type="http://schemas.openxmlformats.org/officeDocument/2006/relationships/image" Target="../media/image9.jpeg"/><Relationship Id="rId19" Type="http://schemas.openxmlformats.org/officeDocument/2006/relationships/image" Target="../media/image18.jpeg"/><Relationship Id="rId31" Type="http://schemas.openxmlformats.org/officeDocument/2006/relationships/image" Target="../media/image30.jpeg"/><Relationship Id="rId4" Type="http://schemas.microsoft.com/office/2007/relationships/hdphoto" Target="../media/hdphoto1.wdp"/><Relationship Id="rId9" Type="http://schemas.openxmlformats.org/officeDocument/2006/relationships/image" Target="../media/image8.jpeg"/><Relationship Id="rId14" Type="http://schemas.openxmlformats.org/officeDocument/2006/relationships/image" Target="../media/image13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738191</xdr:colOff>
      <xdr:row>98</xdr:row>
      <xdr:rowOff>0</xdr:rowOff>
    </xdr:from>
    <xdr:to>
      <xdr:col>0</xdr:col>
      <xdr:colOff>2547937</xdr:colOff>
      <xdr:row>102</xdr:row>
      <xdr:rowOff>68907</xdr:rowOff>
    </xdr:to>
    <xdr:pic>
      <xdr:nvPicPr>
        <xdr:cNvPr id="2423" name="Imagen 2422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8941" y="543292528"/>
          <a:ext cx="1809746" cy="2069157"/>
        </a:xfrm>
        <a:prstGeom prst="rect">
          <a:avLst/>
        </a:prstGeom>
      </xdr:spPr>
    </xdr:pic>
    <xdr:clientData/>
  </xdr:twoCellAnchor>
  <xdr:twoCellAnchor>
    <xdr:from>
      <xdr:col>0</xdr:col>
      <xdr:colOff>346485</xdr:colOff>
      <xdr:row>0</xdr:row>
      <xdr:rowOff>127000</xdr:rowOff>
    </xdr:from>
    <xdr:to>
      <xdr:col>0</xdr:col>
      <xdr:colOff>3479800</xdr:colOff>
      <xdr:row>2</xdr:row>
      <xdr:rowOff>127000</xdr:rowOff>
    </xdr:to>
    <xdr:pic>
      <xdr:nvPicPr>
        <xdr:cNvPr id="1373" name="206 Imagen" descr="Logo Interco.jpg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557660" y="127000"/>
          <a:ext cx="3133315" cy="1009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317500</xdr:colOff>
      <xdr:row>150</xdr:row>
      <xdr:rowOff>304800</xdr:rowOff>
    </xdr:to>
    <xdr:sp macro="" textlink="">
      <xdr:nvSpPr>
        <xdr:cNvPr id="2506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33680400" y="1116953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317500</xdr:colOff>
      <xdr:row>150</xdr:row>
      <xdr:rowOff>304800</xdr:rowOff>
    </xdr:to>
    <xdr:sp macro="" textlink="">
      <xdr:nvSpPr>
        <xdr:cNvPr id="2512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11169538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899583</xdr:colOff>
      <xdr:row>12</xdr:row>
      <xdr:rowOff>95860</xdr:rowOff>
    </xdr:from>
    <xdr:to>
      <xdr:col>0</xdr:col>
      <xdr:colOff>3186781</xdr:colOff>
      <xdr:row>15</xdr:row>
      <xdr:rowOff>317499</xdr:rowOff>
    </xdr:to>
    <xdr:pic>
      <xdr:nvPicPr>
        <xdr:cNvPr id="229" name="10 Imagen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77658" y="12135460"/>
          <a:ext cx="2287198" cy="1707539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16</xdr:row>
      <xdr:rowOff>158284</xdr:rowOff>
    </xdr:from>
    <xdr:to>
      <xdr:col>0</xdr:col>
      <xdr:colOff>3397250</xdr:colOff>
      <xdr:row>20</xdr:row>
      <xdr:rowOff>349250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49575" y="23589784"/>
          <a:ext cx="2825750" cy="2172166"/>
        </a:xfrm>
        <a:prstGeom prst="rect">
          <a:avLst/>
        </a:prstGeom>
      </xdr:spPr>
    </xdr:pic>
    <xdr:clientData/>
  </xdr:twoCellAnchor>
  <xdr:twoCellAnchor>
    <xdr:from>
      <xdr:col>0</xdr:col>
      <xdr:colOff>690560</xdr:colOff>
      <xdr:row>21</xdr:row>
      <xdr:rowOff>165100</xdr:rowOff>
    </xdr:from>
    <xdr:to>
      <xdr:col>0</xdr:col>
      <xdr:colOff>3202342</xdr:colOff>
      <xdr:row>24</xdr:row>
      <xdr:rowOff>349696</xdr:rowOff>
    </xdr:to>
    <xdr:pic>
      <xdr:nvPicPr>
        <xdr:cNvPr id="250" name="Imagen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68635" y="53848000"/>
          <a:ext cx="2511782" cy="1670496"/>
        </a:xfrm>
        <a:prstGeom prst="rect">
          <a:avLst/>
        </a:prstGeom>
      </xdr:spPr>
    </xdr:pic>
    <xdr:clientData/>
  </xdr:twoCellAnchor>
  <xdr:twoCellAnchor>
    <xdr:from>
      <xdr:col>0</xdr:col>
      <xdr:colOff>603250</xdr:colOff>
      <xdr:row>25</xdr:row>
      <xdr:rowOff>127000</xdr:rowOff>
    </xdr:from>
    <xdr:to>
      <xdr:col>0</xdr:col>
      <xdr:colOff>3198850</xdr:colOff>
      <xdr:row>28</xdr:row>
      <xdr:rowOff>381250</xdr:rowOff>
    </xdr:to>
    <xdr:pic>
      <xdr:nvPicPr>
        <xdr:cNvPr id="261" name="Imagen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47877" y="74437877"/>
          <a:ext cx="2595600" cy="1730623"/>
        </a:xfrm>
        <a:prstGeom prst="rect">
          <a:avLst/>
        </a:prstGeom>
      </xdr:spPr>
    </xdr:pic>
    <xdr:clientData/>
  </xdr:twoCellAnchor>
  <xdr:twoCellAnchor>
    <xdr:from>
      <xdr:col>0</xdr:col>
      <xdr:colOff>444500</xdr:colOff>
      <xdr:row>34</xdr:row>
      <xdr:rowOff>190500</xdr:rowOff>
    </xdr:from>
    <xdr:to>
      <xdr:col>0</xdr:col>
      <xdr:colOff>3152000</xdr:colOff>
      <xdr:row>37</xdr:row>
      <xdr:rowOff>365045</xdr:rowOff>
    </xdr:to>
    <xdr:pic>
      <xdr:nvPicPr>
        <xdr:cNvPr id="277" name="Imagen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22575" y="83058000"/>
          <a:ext cx="2707500" cy="1660445"/>
        </a:xfrm>
        <a:prstGeom prst="rect">
          <a:avLst/>
        </a:prstGeom>
      </xdr:spPr>
    </xdr:pic>
    <xdr:clientData/>
  </xdr:twoCellAnchor>
  <xdr:twoCellAnchor>
    <xdr:from>
      <xdr:col>0</xdr:col>
      <xdr:colOff>371928</xdr:colOff>
      <xdr:row>42</xdr:row>
      <xdr:rowOff>292034</xdr:rowOff>
    </xdr:from>
    <xdr:to>
      <xdr:col>0</xdr:col>
      <xdr:colOff>3655785</xdr:colOff>
      <xdr:row>45</xdr:row>
      <xdr:rowOff>335859</xdr:rowOff>
    </xdr:to>
    <xdr:pic>
      <xdr:nvPicPr>
        <xdr:cNvPr id="278" name="Imagen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50003" y="89103134"/>
          <a:ext cx="3283857" cy="1529725"/>
        </a:xfrm>
        <a:prstGeom prst="rect">
          <a:avLst/>
        </a:prstGeom>
      </xdr:spPr>
    </xdr:pic>
    <xdr:clientData/>
  </xdr:twoCellAnchor>
  <xdr:twoCellAnchor>
    <xdr:from>
      <xdr:col>0</xdr:col>
      <xdr:colOff>428625</xdr:colOff>
      <xdr:row>38</xdr:row>
      <xdr:rowOff>190500</xdr:rowOff>
    </xdr:from>
    <xdr:to>
      <xdr:col>0</xdr:col>
      <xdr:colOff>3612375</xdr:colOff>
      <xdr:row>41</xdr:row>
      <xdr:rowOff>326650</xdr:rowOff>
    </xdr:to>
    <xdr:pic>
      <xdr:nvPicPr>
        <xdr:cNvPr id="279" name="Imagen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06700" y="87020400"/>
          <a:ext cx="3183750" cy="1622050"/>
        </a:xfrm>
        <a:prstGeom prst="rect">
          <a:avLst/>
        </a:prstGeom>
      </xdr:spPr>
    </xdr:pic>
    <xdr:clientData/>
  </xdr:twoCellAnchor>
  <xdr:twoCellAnchor>
    <xdr:from>
      <xdr:col>0</xdr:col>
      <xdr:colOff>671286</xdr:colOff>
      <xdr:row>58</xdr:row>
      <xdr:rowOff>147937</xdr:rowOff>
    </xdr:from>
    <xdr:to>
      <xdr:col>0</xdr:col>
      <xdr:colOff>3124967</xdr:colOff>
      <xdr:row>61</xdr:row>
      <xdr:rowOff>385373</xdr:rowOff>
    </xdr:to>
    <xdr:pic>
      <xdr:nvPicPr>
        <xdr:cNvPr id="287" name="Imagen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286" y="29611937"/>
          <a:ext cx="2453681" cy="1761436"/>
        </a:xfrm>
        <a:prstGeom prst="rect">
          <a:avLst/>
        </a:prstGeom>
      </xdr:spPr>
    </xdr:pic>
    <xdr:clientData/>
  </xdr:twoCellAnchor>
  <xdr:twoCellAnchor>
    <xdr:from>
      <xdr:col>0</xdr:col>
      <xdr:colOff>723901</xdr:colOff>
      <xdr:row>62</xdr:row>
      <xdr:rowOff>100829</xdr:rowOff>
    </xdr:from>
    <xdr:to>
      <xdr:col>0</xdr:col>
      <xdr:colOff>2895601</xdr:colOff>
      <xdr:row>65</xdr:row>
      <xdr:rowOff>390144</xdr:rowOff>
    </xdr:to>
    <xdr:pic>
      <xdr:nvPicPr>
        <xdr:cNvPr id="288" name="Imagen 70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01976" y="109028729"/>
          <a:ext cx="2171700" cy="1775215"/>
        </a:xfrm>
        <a:prstGeom prst="rect">
          <a:avLst/>
        </a:prstGeom>
      </xdr:spPr>
    </xdr:pic>
    <xdr:clientData/>
  </xdr:twoCellAnchor>
  <xdr:twoCellAnchor>
    <xdr:from>
      <xdr:col>0</xdr:col>
      <xdr:colOff>206373</xdr:colOff>
      <xdr:row>54</xdr:row>
      <xdr:rowOff>307152</xdr:rowOff>
    </xdr:from>
    <xdr:to>
      <xdr:col>0</xdr:col>
      <xdr:colOff>3524248</xdr:colOff>
      <xdr:row>57</xdr:row>
      <xdr:rowOff>288289</xdr:rowOff>
    </xdr:to>
    <xdr:pic>
      <xdr:nvPicPr>
        <xdr:cNvPr id="296" name="Imagen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84448" y="99176652"/>
          <a:ext cx="3317875" cy="1581337"/>
        </a:xfrm>
        <a:prstGeom prst="rect">
          <a:avLst/>
        </a:prstGeom>
      </xdr:spPr>
    </xdr:pic>
    <xdr:clientData/>
  </xdr:twoCellAnchor>
  <xdr:twoCellAnchor>
    <xdr:from>
      <xdr:col>0</xdr:col>
      <xdr:colOff>1301750</xdr:colOff>
      <xdr:row>70</xdr:row>
      <xdr:rowOff>62858</xdr:rowOff>
    </xdr:from>
    <xdr:to>
      <xdr:col>0</xdr:col>
      <xdr:colOff>2317750</xdr:colOff>
      <xdr:row>73</xdr:row>
      <xdr:rowOff>355346</xdr:rowOff>
    </xdr:to>
    <xdr:pic>
      <xdr:nvPicPr>
        <xdr:cNvPr id="315" name="Imagen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79825" y="159320858"/>
          <a:ext cx="1016000" cy="1778388"/>
        </a:xfrm>
        <a:prstGeom prst="rect">
          <a:avLst/>
        </a:prstGeom>
      </xdr:spPr>
    </xdr:pic>
    <xdr:clientData/>
  </xdr:twoCellAnchor>
  <xdr:twoCellAnchor>
    <xdr:from>
      <xdr:col>0</xdr:col>
      <xdr:colOff>1321650</xdr:colOff>
      <xdr:row>66</xdr:row>
      <xdr:rowOff>152400</xdr:rowOff>
    </xdr:from>
    <xdr:to>
      <xdr:col>0</xdr:col>
      <xdr:colOff>2282759</xdr:colOff>
      <xdr:row>69</xdr:row>
      <xdr:rowOff>419100</xdr:rowOff>
    </xdr:to>
    <xdr:pic>
      <xdr:nvPicPr>
        <xdr:cNvPr id="319" name="Imagen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99725" y="157429200"/>
          <a:ext cx="961109" cy="1752600"/>
        </a:xfrm>
        <a:prstGeom prst="rect">
          <a:avLst/>
        </a:prstGeom>
      </xdr:spPr>
    </xdr:pic>
    <xdr:clientData/>
  </xdr:twoCellAnchor>
  <xdr:twoCellAnchor>
    <xdr:from>
      <xdr:col>0</xdr:col>
      <xdr:colOff>1213625</xdr:colOff>
      <xdr:row>74</xdr:row>
      <xdr:rowOff>181750</xdr:rowOff>
    </xdr:from>
    <xdr:to>
      <xdr:col>0</xdr:col>
      <xdr:colOff>2365375</xdr:colOff>
      <xdr:row>77</xdr:row>
      <xdr:rowOff>300879</xdr:rowOff>
    </xdr:to>
    <xdr:pic>
      <xdr:nvPicPr>
        <xdr:cNvPr id="328" name="Imagen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3625" y="37773750"/>
          <a:ext cx="1151750" cy="1643129"/>
        </a:xfrm>
        <a:prstGeom prst="rect">
          <a:avLst/>
        </a:prstGeom>
      </xdr:spPr>
    </xdr:pic>
    <xdr:clientData/>
  </xdr:twoCellAnchor>
  <xdr:twoCellAnchor>
    <xdr:from>
      <xdr:col>0</xdr:col>
      <xdr:colOff>635000</xdr:colOff>
      <xdr:row>78</xdr:row>
      <xdr:rowOff>190500</xdr:rowOff>
    </xdr:from>
    <xdr:to>
      <xdr:col>0</xdr:col>
      <xdr:colOff>3314095</xdr:colOff>
      <xdr:row>81</xdr:row>
      <xdr:rowOff>381000</xdr:rowOff>
    </xdr:to>
    <xdr:pic>
      <xdr:nvPicPr>
        <xdr:cNvPr id="367" name="Imagen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00" y="39814500"/>
          <a:ext cx="2679095" cy="1714500"/>
        </a:xfrm>
        <a:prstGeom prst="rect">
          <a:avLst/>
        </a:prstGeom>
      </xdr:spPr>
    </xdr:pic>
    <xdr:clientData/>
  </xdr:twoCellAnchor>
  <xdr:twoCellAnchor>
    <xdr:from>
      <xdr:col>0</xdr:col>
      <xdr:colOff>787399</xdr:colOff>
      <xdr:row>82</xdr:row>
      <xdr:rowOff>152400</xdr:rowOff>
    </xdr:from>
    <xdr:to>
      <xdr:col>0</xdr:col>
      <xdr:colOff>2883572</xdr:colOff>
      <xdr:row>85</xdr:row>
      <xdr:rowOff>362584</xdr:rowOff>
    </xdr:to>
    <xdr:pic>
      <xdr:nvPicPr>
        <xdr:cNvPr id="368" name="30 Imagen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7399" y="41808400"/>
          <a:ext cx="2096173" cy="1734184"/>
        </a:xfrm>
        <a:prstGeom prst="rect">
          <a:avLst/>
        </a:prstGeom>
      </xdr:spPr>
    </xdr:pic>
    <xdr:clientData/>
  </xdr:twoCellAnchor>
  <xdr:twoCellAnchor>
    <xdr:from>
      <xdr:col>0</xdr:col>
      <xdr:colOff>1139825</xdr:colOff>
      <xdr:row>86</xdr:row>
      <xdr:rowOff>133102</xdr:rowOff>
    </xdr:from>
    <xdr:to>
      <xdr:col>0</xdr:col>
      <xdr:colOff>2285997</xdr:colOff>
      <xdr:row>89</xdr:row>
      <xdr:rowOff>428623</xdr:rowOff>
    </xdr:to>
    <xdr:pic>
      <xdr:nvPicPr>
        <xdr:cNvPr id="380" name="1378 Imagen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825" y="43821102"/>
          <a:ext cx="1146172" cy="1819521"/>
        </a:xfrm>
        <a:prstGeom prst="rect">
          <a:avLst/>
        </a:prstGeom>
      </xdr:spPr>
    </xdr:pic>
    <xdr:clientData/>
  </xdr:twoCellAnchor>
  <xdr:twoCellAnchor>
    <xdr:from>
      <xdr:col>0</xdr:col>
      <xdr:colOff>539750</xdr:colOff>
      <xdr:row>90</xdr:row>
      <xdr:rowOff>127000</xdr:rowOff>
    </xdr:from>
    <xdr:to>
      <xdr:col>0</xdr:col>
      <xdr:colOff>3325850</xdr:colOff>
      <xdr:row>93</xdr:row>
      <xdr:rowOff>354532</xdr:rowOff>
    </xdr:to>
    <xdr:pic>
      <xdr:nvPicPr>
        <xdr:cNvPr id="407" name="Imagen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17825" y="312432700"/>
          <a:ext cx="2786100" cy="1713432"/>
        </a:xfrm>
        <a:prstGeom prst="rect">
          <a:avLst/>
        </a:prstGeom>
      </xdr:spPr>
    </xdr:pic>
    <xdr:clientData/>
  </xdr:twoCellAnchor>
  <xdr:twoCellAnchor>
    <xdr:from>
      <xdr:col>0</xdr:col>
      <xdr:colOff>195620</xdr:colOff>
      <xdr:row>110</xdr:row>
      <xdr:rowOff>266014</xdr:rowOff>
    </xdr:from>
    <xdr:to>
      <xdr:col>0</xdr:col>
      <xdr:colOff>3418893</xdr:colOff>
      <xdr:row>113</xdr:row>
      <xdr:rowOff>272144</xdr:rowOff>
    </xdr:to>
    <xdr:pic>
      <xdr:nvPicPr>
        <xdr:cNvPr id="452" name="Imagen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5620" y="56146014"/>
          <a:ext cx="3223273" cy="1530130"/>
        </a:xfrm>
        <a:prstGeom prst="rect">
          <a:avLst/>
        </a:prstGeom>
      </xdr:spPr>
    </xdr:pic>
    <xdr:clientData/>
  </xdr:twoCellAnchor>
  <xdr:twoCellAnchor>
    <xdr:from>
      <xdr:col>0</xdr:col>
      <xdr:colOff>133474</xdr:colOff>
      <xdr:row>99</xdr:row>
      <xdr:rowOff>127000</xdr:rowOff>
    </xdr:from>
    <xdr:to>
      <xdr:col>0</xdr:col>
      <xdr:colOff>3408673</xdr:colOff>
      <xdr:row>102</xdr:row>
      <xdr:rowOff>272144</xdr:rowOff>
    </xdr:to>
    <xdr:pic>
      <xdr:nvPicPr>
        <xdr:cNvPr id="454" name="Imagen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3474" y="50419000"/>
          <a:ext cx="3275199" cy="1669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266225</xdr:colOff>
      <xdr:row>103</xdr:row>
      <xdr:rowOff>235857</xdr:rowOff>
    </xdr:from>
    <xdr:to>
      <xdr:col>0</xdr:col>
      <xdr:colOff>3539351</xdr:colOff>
      <xdr:row>106</xdr:row>
      <xdr:rowOff>163285</xdr:rowOff>
    </xdr:to>
    <xdr:pic>
      <xdr:nvPicPr>
        <xdr:cNvPr id="455" name="Imagen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225" y="52559857"/>
          <a:ext cx="3273126" cy="1451428"/>
        </a:xfrm>
        <a:prstGeom prst="rect">
          <a:avLst/>
        </a:prstGeom>
      </xdr:spPr>
    </xdr:pic>
    <xdr:clientData/>
  </xdr:twoCellAnchor>
  <xdr:oneCellAnchor>
    <xdr:from>
      <xdr:col>23</xdr:col>
      <xdr:colOff>0</xdr:colOff>
      <xdr:row>114</xdr:row>
      <xdr:rowOff>0</xdr:rowOff>
    </xdr:from>
    <xdr:ext cx="304800" cy="304800"/>
    <xdr:sp macro="" textlink="">
      <xdr:nvSpPr>
        <xdr:cNvPr id="482" name="AutoShape 1" descr="Tan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114</xdr:row>
      <xdr:rowOff>0</xdr:rowOff>
    </xdr:from>
    <xdr:ext cx="304800" cy="304800"/>
    <xdr:sp macro="" textlink="">
      <xdr:nvSpPr>
        <xdr:cNvPr id="483" name="AutoShape 1" descr="Tan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114</xdr:row>
      <xdr:rowOff>0</xdr:rowOff>
    </xdr:from>
    <xdr:ext cx="304800" cy="304800"/>
    <xdr:sp macro="" textlink="">
      <xdr:nvSpPr>
        <xdr:cNvPr id="484" name="AutoShape 1" descr="Tan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114</xdr:row>
      <xdr:rowOff>0</xdr:rowOff>
    </xdr:from>
    <xdr:ext cx="304800" cy="304800"/>
    <xdr:sp macro="" textlink="">
      <xdr:nvSpPr>
        <xdr:cNvPr id="485" name="AutoShape 1" descr="Tan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216007950" y="427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489854</xdr:colOff>
      <xdr:row>114</xdr:row>
      <xdr:rowOff>199573</xdr:rowOff>
    </xdr:from>
    <xdr:to>
      <xdr:col>0</xdr:col>
      <xdr:colOff>3261762</xdr:colOff>
      <xdr:row>117</xdr:row>
      <xdr:rowOff>362856</xdr:rowOff>
    </xdr:to>
    <xdr:pic>
      <xdr:nvPicPr>
        <xdr:cNvPr id="489" name="1368 Imagen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67929" y="458275873"/>
          <a:ext cx="2771908" cy="1649183"/>
        </a:xfrm>
        <a:prstGeom prst="rect">
          <a:avLst/>
        </a:prstGeom>
      </xdr:spPr>
    </xdr:pic>
    <xdr:clientData/>
  </xdr:twoCellAnchor>
  <xdr:twoCellAnchor>
    <xdr:from>
      <xdr:col>0</xdr:col>
      <xdr:colOff>584200</xdr:colOff>
      <xdr:row>118</xdr:row>
      <xdr:rowOff>157184</xdr:rowOff>
    </xdr:from>
    <xdr:to>
      <xdr:col>0</xdr:col>
      <xdr:colOff>3022600</xdr:colOff>
      <xdr:row>121</xdr:row>
      <xdr:rowOff>306487</xdr:rowOff>
    </xdr:to>
    <xdr:pic>
      <xdr:nvPicPr>
        <xdr:cNvPr id="498" name="1444 Imagen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62275" y="464177084"/>
          <a:ext cx="2438400" cy="1635203"/>
        </a:xfrm>
        <a:prstGeom prst="rect">
          <a:avLst/>
        </a:prstGeom>
      </xdr:spPr>
    </xdr:pic>
    <xdr:clientData/>
  </xdr:twoCellAnchor>
  <xdr:twoCellAnchor>
    <xdr:from>
      <xdr:col>0</xdr:col>
      <xdr:colOff>450178</xdr:colOff>
      <xdr:row>126</xdr:row>
      <xdr:rowOff>255547</xdr:rowOff>
    </xdr:from>
    <xdr:to>
      <xdr:col>0</xdr:col>
      <xdr:colOff>3217096</xdr:colOff>
      <xdr:row>129</xdr:row>
      <xdr:rowOff>135075</xdr:rowOff>
    </xdr:to>
    <xdr:pic>
      <xdr:nvPicPr>
        <xdr:cNvPr id="540" name="Imagen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28253" y="518072647"/>
          <a:ext cx="2766918" cy="1365428"/>
        </a:xfrm>
        <a:prstGeom prst="rect">
          <a:avLst/>
        </a:prstGeom>
      </xdr:spPr>
    </xdr:pic>
    <xdr:clientData/>
  </xdr:twoCellAnchor>
  <xdr:twoCellAnchor>
    <xdr:from>
      <xdr:col>0</xdr:col>
      <xdr:colOff>348343</xdr:colOff>
      <xdr:row>134</xdr:row>
      <xdr:rowOff>224971</xdr:rowOff>
    </xdr:from>
    <xdr:to>
      <xdr:col>0</xdr:col>
      <xdr:colOff>3299101</xdr:colOff>
      <xdr:row>137</xdr:row>
      <xdr:rowOff>250019</xdr:rowOff>
    </xdr:to>
    <xdr:pic>
      <xdr:nvPicPr>
        <xdr:cNvPr id="542" name="Imagen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26418" y="531910471"/>
          <a:ext cx="2950758" cy="1510948"/>
        </a:xfrm>
        <a:prstGeom prst="rect">
          <a:avLst/>
        </a:prstGeom>
      </xdr:spPr>
    </xdr:pic>
    <xdr:clientData/>
  </xdr:twoCellAnchor>
  <xdr:twoCellAnchor>
    <xdr:from>
      <xdr:col>0</xdr:col>
      <xdr:colOff>533400</xdr:colOff>
      <xdr:row>138</xdr:row>
      <xdr:rowOff>114301</xdr:rowOff>
    </xdr:from>
    <xdr:to>
      <xdr:col>0</xdr:col>
      <xdr:colOff>3437887</xdr:colOff>
      <xdr:row>141</xdr:row>
      <xdr:rowOff>342901</xdr:rowOff>
    </xdr:to>
    <xdr:pic>
      <xdr:nvPicPr>
        <xdr:cNvPr id="548" name="Imagen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11475" y="541858201"/>
          <a:ext cx="2904487" cy="1714500"/>
        </a:xfrm>
        <a:prstGeom prst="rect">
          <a:avLst/>
        </a:prstGeom>
      </xdr:spPr>
    </xdr:pic>
    <xdr:clientData/>
  </xdr:twoCellAnchor>
  <xdr:twoCellAnchor>
    <xdr:from>
      <xdr:col>0</xdr:col>
      <xdr:colOff>577850</xdr:colOff>
      <xdr:row>122</xdr:row>
      <xdr:rowOff>381000</xdr:rowOff>
    </xdr:from>
    <xdr:to>
      <xdr:col>0</xdr:col>
      <xdr:colOff>3337047</xdr:colOff>
      <xdr:row>125</xdr:row>
      <xdr:rowOff>262075</xdr:rowOff>
    </xdr:to>
    <xdr:pic>
      <xdr:nvPicPr>
        <xdr:cNvPr id="554" name="2402 Imagen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55925" y="511949700"/>
          <a:ext cx="2759197" cy="1481275"/>
        </a:xfrm>
        <a:prstGeom prst="rect">
          <a:avLst/>
        </a:prstGeom>
      </xdr:spPr>
    </xdr:pic>
    <xdr:clientData/>
  </xdr:twoCellAnchor>
  <xdr:twoCellAnchor>
    <xdr:from>
      <xdr:col>0</xdr:col>
      <xdr:colOff>458109</xdr:colOff>
      <xdr:row>146</xdr:row>
      <xdr:rowOff>195036</xdr:rowOff>
    </xdr:from>
    <xdr:to>
      <xdr:col>0</xdr:col>
      <xdr:colOff>3315609</xdr:colOff>
      <xdr:row>149</xdr:row>
      <xdr:rowOff>380375</xdr:rowOff>
    </xdr:to>
    <xdr:pic>
      <xdr:nvPicPr>
        <xdr:cNvPr id="558" name="Imagen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36184" y="543920136"/>
          <a:ext cx="2857500" cy="1671239"/>
        </a:xfrm>
        <a:prstGeom prst="rect">
          <a:avLst/>
        </a:prstGeom>
      </xdr:spPr>
    </xdr:pic>
    <xdr:clientData/>
  </xdr:twoCellAnchor>
  <xdr:twoCellAnchor>
    <xdr:from>
      <xdr:col>0</xdr:col>
      <xdr:colOff>199571</xdr:colOff>
      <xdr:row>154</xdr:row>
      <xdr:rowOff>393130</xdr:rowOff>
    </xdr:from>
    <xdr:to>
      <xdr:col>0</xdr:col>
      <xdr:colOff>3152321</xdr:colOff>
      <xdr:row>157</xdr:row>
      <xdr:rowOff>185201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77646" y="559205830"/>
          <a:ext cx="2952750" cy="1277971"/>
        </a:xfrm>
        <a:prstGeom prst="rect">
          <a:avLst/>
        </a:prstGeom>
      </xdr:spPr>
    </xdr:pic>
    <xdr:clientData/>
  </xdr:twoCellAnchor>
  <xdr:twoCellAnchor>
    <xdr:from>
      <xdr:col>0</xdr:col>
      <xdr:colOff>571501</xdr:colOff>
      <xdr:row>46</xdr:row>
      <xdr:rowOff>222250</xdr:rowOff>
    </xdr:from>
    <xdr:to>
      <xdr:col>0</xdr:col>
      <xdr:colOff>3429000</xdr:colOff>
      <xdr:row>49</xdr:row>
      <xdr:rowOff>323913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501" y="23590250"/>
          <a:ext cx="2857499" cy="1625663"/>
        </a:xfrm>
        <a:prstGeom prst="rect">
          <a:avLst/>
        </a:prstGeom>
      </xdr:spPr>
    </xdr:pic>
    <xdr:clientData/>
  </xdr:twoCellAnchor>
  <xdr:oneCellAnchor>
    <xdr:from>
      <xdr:col>23</xdr:col>
      <xdr:colOff>0</xdr:colOff>
      <xdr:row>150</xdr:row>
      <xdr:rowOff>0</xdr:rowOff>
    </xdr:from>
    <xdr:ext cx="317500" cy="304800"/>
    <xdr:sp macro="" textlink="">
      <xdr:nvSpPr>
        <xdr:cNvPr id="31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6827500" y="763603377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150</xdr:row>
      <xdr:rowOff>0</xdr:rowOff>
    </xdr:from>
    <xdr:ext cx="317500" cy="304800"/>
    <xdr:sp macro="" textlink="">
      <xdr:nvSpPr>
        <xdr:cNvPr id="2281" name="zoom_01" descr="Columbia Botas de senderismo Newton Ridge™ WP Amped Plus Siz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16827500" y="763603377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3130548</xdr:colOff>
      <xdr:row>118</xdr:row>
      <xdr:rowOff>82552</xdr:rowOff>
    </xdr:from>
    <xdr:to>
      <xdr:col>0</xdr:col>
      <xdr:colOff>3699573</xdr:colOff>
      <xdr:row>119</xdr:row>
      <xdr:rowOff>294239</xdr:rowOff>
    </xdr:to>
    <xdr:pic>
      <xdr:nvPicPr>
        <xdr:cNvPr id="5664" name="280 Imagen" descr="9626738-set-of-leather-labels.jpg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77425" y="627526052"/>
          <a:ext cx="569025" cy="703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985841</xdr:colOff>
      <xdr:row>8</xdr:row>
      <xdr:rowOff>149225</xdr:rowOff>
    </xdr:from>
    <xdr:to>
      <xdr:col>0</xdr:col>
      <xdr:colOff>2890841</xdr:colOff>
      <xdr:row>11</xdr:row>
      <xdr:rowOff>330585</xdr:rowOff>
    </xdr:to>
    <xdr:pic>
      <xdr:nvPicPr>
        <xdr:cNvPr id="465" name="Imagen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5841" y="4213225"/>
          <a:ext cx="1905000" cy="1705360"/>
        </a:xfrm>
        <a:prstGeom prst="rect">
          <a:avLst/>
        </a:prstGeom>
      </xdr:spPr>
    </xdr:pic>
    <xdr:clientData/>
  </xdr:twoCellAnchor>
  <xdr:twoCellAnchor>
    <xdr:from>
      <xdr:col>0</xdr:col>
      <xdr:colOff>269872</xdr:colOff>
      <xdr:row>50</xdr:row>
      <xdr:rowOff>153615</xdr:rowOff>
    </xdr:from>
    <xdr:to>
      <xdr:col>0</xdr:col>
      <xdr:colOff>3508373</xdr:colOff>
      <xdr:row>53</xdr:row>
      <xdr:rowOff>347664</xdr:rowOff>
    </xdr:to>
    <xdr:pic>
      <xdr:nvPicPr>
        <xdr:cNvPr id="514" name="Imagen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screen">
          <a:extLst>
            <a:ext uri="{BEBA8EAE-BF5A-486C-A8C5-ECC9F3942E4B}">
              <a14:imgProps xmlns:a14="http://schemas.microsoft.com/office/drawing/2010/main">
                <a14:imgLayer r:embed="rId36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9872" y="25553615"/>
          <a:ext cx="3238501" cy="1718049"/>
        </a:xfrm>
        <a:prstGeom prst="rect">
          <a:avLst/>
        </a:prstGeom>
      </xdr:spPr>
    </xdr:pic>
    <xdr:clientData/>
  </xdr:twoCellAnchor>
  <xdr:twoCellAnchor>
    <xdr:from>
      <xdr:col>0</xdr:col>
      <xdr:colOff>622300</xdr:colOff>
      <xdr:row>142</xdr:row>
      <xdr:rowOff>238125</xdr:rowOff>
    </xdr:from>
    <xdr:to>
      <xdr:col>0</xdr:col>
      <xdr:colOff>3035299</xdr:colOff>
      <xdr:row>145</xdr:row>
      <xdr:rowOff>344091</xdr:rowOff>
    </xdr:to>
    <xdr:pic>
      <xdr:nvPicPr>
        <xdr:cNvPr id="5683" name="Imagen 5682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58927" y="732504252"/>
          <a:ext cx="2412999" cy="1582339"/>
        </a:xfrm>
        <a:prstGeom prst="rect">
          <a:avLst/>
        </a:prstGeom>
      </xdr:spPr>
    </xdr:pic>
    <xdr:clientData/>
  </xdr:twoCellAnchor>
  <xdr:twoCellAnchor>
    <xdr:from>
      <xdr:col>0</xdr:col>
      <xdr:colOff>571499</xdr:colOff>
      <xdr:row>150</xdr:row>
      <xdr:rowOff>126071</xdr:rowOff>
    </xdr:from>
    <xdr:to>
      <xdr:col>0</xdr:col>
      <xdr:colOff>3349622</xdr:colOff>
      <xdr:row>153</xdr:row>
      <xdr:rowOff>311554</xdr:rowOff>
    </xdr:to>
    <xdr:pic>
      <xdr:nvPicPr>
        <xdr:cNvPr id="5686" name="Imagen 5685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499" y="76326071"/>
          <a:ext cx="2778123" cy="1709483"/>
        </a:xfrm>
        <a:prstGeom prst="rect">
          <a:avLst/>
        </a:prstGeom>
      </xdr:spPr>
    </xdr:pic>
    <xdr:clientData/>
  </xdr:twoCellAnchor>
  <xdr:twoCellAnchor>
    <xdr:from>
      <xdr:col>0</xdr:col>
      <xdr:colOff>547690</xdr:colOff>
      <xdr:row>94</xdr:row>
      <xdr:rowOff>134164</xdr:rowOff>
    </xdr:from>
    <xdr:to>
      <xdr:col>0</xdr:col>
      <xdr:colOff>3357562</xdr:colOff>
      <xdr:row>97</xdr:row>
      <xdr:rowOff>416313</xdr:rowOff>
    </xdr:to>
    <xdr:pic>
      <xdr:nvPicPr>
        <xdr:cNvPr id="2415" name="Imagen 2414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8440" y="479170229"/>
          <a:ext cx="2809872" cy="1782334"/>
        </a:xfrm>
        <a:prstGeom prst="rect">
          <a:avLst/>
        </a:prstGeom>
      </xdr:spPr>
    </xdr:pic>
    <xdr:clientData/>
  </xdr:twoCellAnchor>
  <xdr:twoCellAnchor>
    <xdr:from>
      <xdr:col>0</xdr:col>
      <xdr:colOff>404815</xdr:colOff>
      <xdr:row>158</xdr:row>
      <xdr:rowOff>149850</xdr:rowOff>
    </xdr:from>
    <xdr:to>
      <xdr:col>0</xdr:col>
      <xdr:colOff>3286125</xdr:colOff>
      <xdr:row>161</xdr:row>
      <xdr:rowOff>389508</xdr:rowOff>
    </xdr:to>
    <xdr:pic>
      <xdr:nvPicPr>
        <xdr:cNvPr id="5713" name="Imagen 5712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5" y="80413850"/>
          <a:ext cx="2881310" cy="1763658"/>
        </a:xfrm>
        <a:prstGeom prst="rect">
          <a:avLst/>
        </a:prstGeom>
      </xdr:spPr>
    </xdr:pic>
    <xdr:clientData/>
  </xdr:twoCellAnchor>
  <xdr:twoCellAnchor>
    <xdr:from>
      <xdr:col>0</xdr:col>
      <xdr:colOff>348029</xdr:colOff>
      <xdr:row>30</xdr:row>
      <xdr:rowOff>219806</xdr:rowOff>
    </xdr:from>
    <xdr:to>
      <xdr:col>0</xdr:col>
      <xdr:colOff>3375772</xdr:colOff>
      <xdr:row>33</xdr:row>
      <xdr:rowOff>355355</xdr:rowOff>
    </xdr:to>
    <xdr:pic>
      <xdr:nvPicPr>
        <xdr:cNvPr id="260" name="Imagen 259">
          <a:extLst>
            <a:ext uri="{FF2B5EF4-FFF2-40B4-BE49-F238E27FC236}">
              <a16:creationId xmlns:a16="http://schemas.microsoft.com/office/drawing/2014/main" id="{A76599D0-4FCE-4B8D-B64B-E6583429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8029" y="15459806"/>
          <a:ext cx="3027743" cy="1659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196"/>
  <sheetViews>
    <sheetView tabSelected="1" view="pageBreakPreview" zoomScale="30" zoomScaleNormal="26" zoomScaleSheetLayoutView="30" workbookViewId="0">
      <pane ySplit="8" topLeftCell="A138" activePane="bottomLeft" state="frozen"/>
      <selection pane="bottomLeft" activeCell="AB124" sqref="AB124"/>
    </sheetView>
  </sheetViews>
  <sheetFormatPr baseColWidth="10" defaultRowHeight="39" customHeight="1" x14ac:dyDescent="0.4"/>
  <cols>
    <col min="1" max="1" width="53.125" style="1" customWidth="1"/>
    <col min="2" max="2" width="44.125" style="182" customWidth="1"/>
    <col min="3" max="3" width="46.375" style="2" customWidth="1"/>
    <col min="4" max="4" width="14.25" style="5" customWidth="1"/>
    <col min="5" max="5" width="49.375" style="3" customWidth="1"/>
    <col min="6" max="6" width="18.375" style="4" hidden="1" customWidth="1"/>
    <col min="7" max="9" width="43.375" style="4" hidden="1" customWidth="1"/>
    <col min="10" max="10" width="42.125" style="4" hidden="1" customWidth="1"/>
    <col min="11" max="11" width="42.125" style="4" customWidth="1"/>
    <col min="12" max="12" width="26.375" style="5" customWidth="1"/>
    <col min="13" max="20" width="9.375" style="6" customWidth="1"/>
    <col min="21" max="21" width="9.375" style="7" customWidth="1"/>
    <col min="22" max="22" width="32.375" customWidth="1"/>
    <col min="23" max="23" width="3.75" customWidth="1"/>
    <col min="24" max="25" width="56.375" style="254" customWidth="1"/>
    <col min="26" max="27" width="56.375" style="257" customWidth="1"/>
    <col min="28" max="28" width="51" style="318" customWidth="1"/>
    <col min="29" max="29" width="11" customWidth="1"/>
    <col min="30" max="30" width="11" style="8" customWidth="1"/>
    <col min="31" max="36" width="11" customWidth="1"/>
  </cols>
  <sheetData>
    <row r="1" spans="1:30" ht="39" customHeight="1" x14ac:dyDescent="0.5">
      <c r="D1" s="3"/>
      <c r="E1" s="4"/>
      <c r="M1" s="165"/>
      <c r="N1" s="165"/>
      <c r="O1" s="165"/>
      <c r="V1" s="232"/>
      <c r="W1" s="232"/>
      <c r="X1" s="262"/>
      <c r="Y1" s="262"/>
      <c r="Z1" s="263"/>
      <c r="AA1" s="263"/>
      <c r="AC1" s="9"/>
      <c r="AD1" s="10"/>
    </row>
    <row r="2" spans="1:30" ht="39" customHeight="1" thickBot="1" x14ac:dyDescent="0.55000000000000004">
      <c r="B2" s="183"/>
      <c r="C2" s="11"/>
      <c r="D2" s="3"/>
      <c r="E2" s="4"/>
      <c r="F2" s="12"/>
      <c r="H2" s="12"/>
      <c r="M2" s="165"/>
      <c r="N2" s="165"/>
      <c r="O2" s="165"/>
      <c r="P2" s="166"/>
      <c r="Q2" s="166"/>
      <c r="R2" s="166"/>
      <c r="S2" s="166"/>
      <c r="T2" s="166"/>
      <c r="U2" s="166"/>
      <c r="V2" s="233"/>
      <c r="W2" s="233"/>
      <c r="X2" s="262"/>
      <c r="Y2" s="262"/>
      <c r="Z2" s="263"/>
      <c r="AA2" s="263"/>
      <c r="AC2" s="9"/>
      <c r="AD2" s="10"/>
    </row>
    <row r="3" spans="1:30" ht="39" customHeight="1" x14ac:dyDescent="0.5">
      <c r="B3" s="374" t="s">
        <v>100</v>
      </c>
      <c r="C3" s="375"/>
      <c r="D3" s="3"/>
      <c r="E3" s="4"/>
      <c r="F3" s="12"/>
      <c r="H3" s="12"/>
      <c r="M3" s="165"/>
      <c r="N3" s="165"/>
      <c r="O3" s="165"/>
      <c r="P3" s="13"/>
      <c r="Q3" s="13"/>
      <c r="R3" s="13"/>
      <c r="S3" s="13"/>
      <c r="T3" s="13"/>
      <c r="U3" s="13"/>
      <c r="V3" s="233"/>
      <c r="W3" s="233"/>
      <c r="X3" s="262"/>
      <c r="Y3" s="262"/>
      <c r="Z3" s="263"/>
      <c r="AA3" s="263"/>
      <c r="AC3" s="9"/>
      <c r="AD3" s="10"/>
    </row>
    <row r="4" spans="1:30" ht="39" customHeight="1" thickBot="1" x14ac:dyDescent="0.55000000000000004">
      <c r="A4" s="172"/>
      <c r="B4" s="376"/>
      <c r="C4" s="377"/>
      <c r="D4" s="3"/>
      <c r="F4" s="3"/>
      <c r="G4" s="3"/>
      <c r="H4" s="3"/>
      <c r="I4" s="3"/>
      <c r="J4" s="3"/>
      <c r="K4" s="3"/>
      <c r="L4" s="3"/>
      <c r="M4" s="14"/>
      <c r="N4" s="14"/>
      <c r="O4" s="14"/>
      <c r="P4" s="14"/>
      <c r="Q4" s="14"/>
      <c r="R4" s="14"/>
      <c r="S4" s="14"/>
      <c r="T4" s="14"/>
      <c r="U4" s="14"/>
      <c r="V4" s="233"/>
      <c r="W4" s="233"/>
      <c r="X4" s="262"/>
      <c r="Y4" s="262"/>
      <c r="Z4" s="263"/>
      <c r="AA4" s="263"/>
      <c r="AC4" s="9"/>
      <c r="AD4" s="10"/>
    </row>
    <row r="5" spans="1:30" ht="39" customHeight="1" thickBot="1" x14ac:dyDescent="0.55000000000000004">
      <c r="A5" s="164"/>
      <c r="D5" s="3"/>
      <c r="F5" s="173"/>
      <c r="G5" s="173"/>
      <c r="H5" s="173"/>
      <c r="I5" s="173"/>
      <c r="J5" s="173"/>
      <c r="K5" s="173"/>
      <c r="L5" s="174"/>
      <c r="M5" s="175"/>
      <c r="N5" s="175"/>
      <c r="O5" s="175"/>
      <c r="P5" s="167"/>
      <c r="Q5" s="167"/>
      <c r="R5" s="167"/>
      <c r="S5" s="167"/>
      <c r="T5" s="167"/>
      <c r="U5" s="168"/>
      <c r="V5" s="215">
        <v>45863</v>
      </c>
      <c r="W5" s="231"/>
      <c r="X5" s="264"/>
      <c r="Y5" s="264"/>
      <c r="Z5" s="265"/>
      <c r="AA5" s="266"/>
      <c r="AC5" s="9"/>
      <c r="AD5" s="10"/>
    </row>
    <row r="6" spans="1:30" ht="39" customHeight="1" x14ac:dyDescent="0.5">
      <c r="A6" s="169" t="s">
        <v>1</v>
      </c>
      <c r="B6" s="184" t="s">
        <v>2</v>
      </c>
      <c r="C6" s="16"/>
      <c r="D6" s="17"/>
      <c r="E6" s="18"/>
      <c r="F6" s="15"/>
      <c r="G6" s="15"/>
      <c r="H6" s="15" t="s">
        <v>3</v>
      </c>
      <c r="I6" s="15" t="s">
        <v>4</v>
      </c>
      <c r="J6" s="15" t="s">
        <v>5</v>
      </c>
      <c r="K6" s="15"/>
      <c r="L6" s="19"/>
      <c r="M6" s="20"/>
      <c r="N6" s="21"/>
      <c r="O6" s="22"/>
      <c r="P6" s="21"/>
      <c r="Q6" s="21"/>
      <c r="R6" s="21"/>
      <c r="S6" s="21"/>
      <c r="T6" s="21"/>
      <c r="U6" s="23"/>
      <c r="V6" s="230" t="s">
        <v>7</v>
      </c>
      <c r="W6" s="226"/>
      <c r="X6" s="391" t="s">
        <v>131</v>
      </c>
      <c r="Y6" s="391" t="s">
        <v>132</v>
      </c>
      <c r="Z6" s="393" t="s">
        <v>133</v>
      </c>
      <c r="AA6" s="393" t="s">
        <v>134</v>
      </c>
      <c r="AB6" s="361" t="s">
        <v>144</v>
      </c>
      <c r="AC6" s="9"/>
      <c r="AD6" s="10"/>
    </row>
    <row r="7" spans="1:30" ht="39" customHeight="1" thickBot="1" x14ac:dyDescent="0.55000000000000004">
      <c r="A7" s="176" t="s">
        <v>9</v>
      </c>
      <c r="B7" s="185" t="s">
        <v>10</v>
      </c>
      <c r="C7" s="24" t="s">
        <v>11</v>
      </c>
      <c r="D7" s="130"/>
      <c r="E7" s="177" t="s">
        <v>12</v>
      </c>
      <c r="F7" s="178" t="s">
        <v>13</v>
      </c>
      <c r="G7" s="178" t="s">
        <v>14</v>
      </c>
      <c r="H7" s="178" t="s">
        <v>15</v>
      </c>
      <c r="I7" s="178" t="s">
        <v>15</v>
      </c>
      <c r="J7" s="178" t="s">
        <v>16</v>
      </c>
      <c r="K7" s="178" t="s">
        <v>130</v>
      </c>
      <c r="L7" s="160" t="s">
        <v>6</v>
      </c>
      <c r="M7" s="130" t="s">
        <v>8</v>
      </c>
      <c r="N7" s="179"/>
      <c r="O7" s="179"/>
      <c r="P7" s="179"/>
      <c r="Q7" s="179"/>
      <c r="R7" s="179"/>
      <c r="S7" s="179"/>
      <c r="T7" s="179"/>
      <c r="U7" s="180"/>
      <c r="V7" s="216" t="s">
        <v>17</v>
      </c>
      <c r="W7" s="226"/>
      <c r="X7" s="392"/>
      <c r="Y7" s="392"/>
      <c r="Z7" s="394"/>
      <c r="AA7" s="394"/>
      <c r="AB7" s="361"/>
      <c r="AC7" s="9"/>
      <c r="AD7" s="10"/>
    </row>
    <row r="8" spans="1:30" ht="39" customHeight="1" thickBot="1" x14ac:dyDescent="0.65">
      <c r="A8" s="170" t="s">
        <v>21</v>
      </c>
      <c r="B8" s="198"/>
      <c r="C8" s="25"/>
      <c r="D8" s="26"/>
      <c r="E8" s="27"/>
      <c r="F8" s="28"/>
      <c r="G8" s="28"/>
      <c r="H8" s="28"/>
      <c r="I8" s="28"/>
      <c r="J8" s="28"/>
      <c r="K8" s="203"/>
      <c r="L8" s="28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7"/>
      <c r="Y8" s="267"/>
      <c r="Z8" s="267"/>
      <c r="AA8" s="267"/>
      <c r="AC8" s="9"/>
      <c r="AD8" s="10"/>
    </row>
    <row r="9" spans="1:30" ht="39" customHeight="1" x14ac:dyDescent="0.5">
      <c r="A9" s="63"/>
      <c r="B9" s="368">
        <v>1809</v>
      </c>
      <c r="C9" s="60" t="s">
        <v>36</v>
      </c>
      <c r="D9" s="41" t="s">
        <v>18</v>
      </c>
      <c r="E9" s="42" t="s">
        <v>50</v>
      </c>
      <c r="F9" s="362" t="s">
        <v>37</v>
      </c>
      <c r="G9" s="362" t="s">
        <v>25</v>
      </c>
      <c r="H9" s="362" t="s">
        <v>64</v>
      </c>
      <c r="I9" s="362" t="s">
        <v>39</v>
      </c>
      <c r="J9" s="371" t="s">
        <v>62</v>
      </c>
      <c r="K9" s="234"/>
      <c r="L9" s="235" t="s">
        <v>34</v>
      </c>
      <c r="M9" s="31">
        <v>30</v>
      </c>
      <c r="N9" s="61">
        <v>31</v>
      </c>
      <c r="O9" s="32">
        <v>32</v>
      </c>
      <c r="P9" s="32">
        <v>33</v>
      </c>
      <c r="Q9" s="32">
        <v>34</v>
      </c>
      <c r="R9" s="32">
        <v>35</v>
      </c>
      <c r="S9" s="32"/>
      <c r="T9" s="56"/>
      <c r="U9" s="62"/>
      <c r="V9" s="217"/>
      <c r="W9" s="236"/>
      <c r="X9" s="253">
        <v>15</v>
      </c>
      <c r="Y9" s="253">
        <v>15</v>
      </c>
      <c r="Z9" s="253">
        <v>15</v>
      </c>
      <c r="AA9" s="312">
        <f>SUM(X9:Z9)</f>
        <v>45</v>
      </c>
      <c r="AB9" s="319"/>
      <c r="AD9"/>
    </row>
    <row r="10" spans="1:30" ht="39" customHeight="1" x14ac:dyDescent="0.5">
      <c r="A10" s="45"/>
      <c r="B10" s="369"/>
      <c r="C10" s="64" t="s">
        <v>43</v>
      </c>
      <c r="D10" s="41" t="s">
        <v>83</v>
      </c>
      <c r="E10" s="42" t="s">
        <v>84</v>
      </c>
      <c r="F10" s="363"/>
      <c r="G10" s="363"/>
      <c r="H10" s="363"/>
      <c r="I10" s="363"/>
      <c r="J10" s="372"/>
      <c r="K10" s="234"/>
      <c r="L10" s="237"/>
      <c r="M10" s="43">
        <v>2</v>
      </c>
      <c r="N10" s="44">
        <v>2</v>
      </c>
      <c r="O10" s="44">
        <v>2</v>
      </c>
      <c r="P10" s="44">
        <v>3</v>
      </c>
      <c r="Q10" s="44">
        <v>3</v>
      </c>
      <c r="R10" s="46">
        <v>3</v>
      </c>
      <c r="S10" s="44"/>
      <c r="T10" s="46"/>
      <c r="U10" s="66">
        <v>15</v>
      </c>
      <c r="V10" s="218">
        <v>12990</v>
      </c>
      <c r="W10" s="13"/>
      <c r="Z10" s="254"/>
      <c r="AA10" s="313"/>
      <c r="AB10" s="319"/>
      <c r="AD10"/>
    </row>
    <row r="11" spans="1:30" ht="39" customHeight="1" thickBot="1" x14ac:dyDescent="0.55000000000000004">
      <c r="A11" s="93"/>
      <c r="B11" s="370"/>
      <c r="C11" s="64" t="s">
        <v>43</v>
      </c>
      <c r="D11" s="41"/>
      <c r="E11" s="42"/>
      <c r="F11" s="363"/>
      <c r="G11" s="363"/>
      <c r="H11" s="363"/>
      <c r="I11" s="363"/>
      <c r="J11" s="372"/>
      <c r="K11" s="234"/>
      <c r="L11" s="35"/>
      <c r="M11" s="36"/>
      <c r="N11" s="67"/>
      <c r="O11" s="37"/>
      <c r="P11" s="37"/>
      <c r="Q11" s="37"/>
      <c r="R11" s="37"/>
      <c r="S11" s="37"/>
      <c r="T11" s="68"/>
      <c r="U11" s="35"/>
      <c r="V11" s="218"/>
      <c r="W11" s="13"/>
      <c r="Z11" s="254"/>
      <c r="AA11" s="313"/>
      <c r="AB11" s="319"/>
      <c r="AD11"/>
    </row>
    <row r="12" spans="1:30" ht="39" customHeight="1" thickBot="1" x14ac:dyDescent="0.55000000000000004">
      <c r="A12" s="59"/>
      <c r="B12" s="186" t="s">
        <v>35</v>
      </c>
      <c r="C12" s="64" t="s">
        <v>31</v>
      </c>
      <c r="D12" s="79"/>
      <c r="E12" s="70"/>
      <c r="F12" s="364"/>
      <c r="G12" s="364"/>
      <c r="H12" s="364"/>
      <c r="I12" s="364"/>
      <c r="J12" s="373"/>
      <c r="K12" s="234"/>
      <c r="L12" s="54"/>
      <c r="M12" s="49"/>
      <c r="N12" s="76"/>
      <c r="O12" s="50"/>
      <c r="P12" s="50"/>
      <c r="Q12" s="50"/>
      <c r="R12" s="50"/>
      <c r="S12" s="50"/>
      <c r="T12" s="55"/>
      <c r="U12" s="54"/>
      <c r="V12" s="219"/>
      <c r="W12" s="238"/>
      <c r="X12" s="255"/>
      <c r="Y12" s="255"/>
      <c r="Z12" s="255"/>
      <c r="AA12" s="314"/>
      <c r="AB12" s="319"/>
      <c r="AD12"/>
    </row>
    <row r="13" spans="1:30" ht="39" customHeight="1" x14ac:dyDescent="0.5">
      <c r="A13" s="77"/>
      <c r="B13" s="368">
        <v>1816</v>
      </c>
      <c r="C13" s="60" t="s">
        <v>36</v>
      </c>
      <c r="D13" s="29"/>
      <c r="E13" s="30"/>
      <c r="F13" s="362" t="s">
        <v>37</v>
      </c>
      <c r="G13" s="362" t="s">
        <v>25</v>
      </c>
      <c r="H13" s="362" t="s">
        <v>38</v>
      </c>
      <c r="I13" s="362" t="s">
        <v>39</v>
      </c>
      <c r="J13" s="371" t="s">
        <v>46</v>
      </c>
      <c r="K13" s="234"/>
      <c r="L13" s="235" t="s">
        <v>34</v>
      </c>
      <c r="M13" s="32">
        <v>30</v>
      </c>
      <c r="N13" s="32">
        <v>31</v>
      </c>
      <c r="O13" s="32">
        <v>32</v>
      </c>
      <c r="P13" s="32">
        <v>33</v>
      </c>
      <c r="Q13" s="32">
        <v>34</v>
      </c>
      <c r="R13" s="56">
        <v>35</v>
      </c>
      <c r="S13" s="32"/>
      <c r="T13" s="56"/>
      <c r="U13" s="62"/>
      <c r="V13" s="217"/>
      <c r="W13" s="236"/>
      <c r="X13" s="253"/>
      <c r="Y13" s="253"/>
      <c r="Z13" s="256"/>
      <c r="AA13" s="315"/>
      <c r="AB13" s="320"/>
      <c r="AC13" s="9"/>
      <c r="AD13" s="10"/>
    </row>
    <row r="14" spans="1:30" ht="39" customHeight="1" x14ac:dyDescent="0.5">
      <c r="A14" s="385"/>
      <c r="B14" s="369"/>
      <c r="C14" s="64" t="s">
        <v>47</v>
      </c>
      <c r="D14" s="51" t="s">
        <v>18</v>
      </c>
      <c r="E14" s="40" t="s">
        <v>28</v>
      </c>
      <c r="F14" s="363"/>
      <c r="G14" s="363"/>
      <c r="H14" s="363"/>
      <c r="I14" s="363"/>
      <c r="J14" s="372"/>
      <c r="K14" s="234"/>
      <c r="L14" s="237"/>
      <c r="M14" s="44">
        <v>2</v>
      </c>
      <c r="N14" s="44">
        <v>2</v>
      </c>
      <c r="O14" s="44">
        <v>2</v>
      </c>
      <c r="P14" s="44">
        <v>3</v>
      </c>
      <c r="Q14" s="44">
        <v>3</v>
      </c>
      <c r="R14" s="46">
        <v>3</v>
      </c>
      <c r="S14" s="44"/>
      <c r="T14" s="46"/>
      <c r="U14" s="66">
        <v>15</v>
      </c>
      <c r="V14" s="218">
        <v>14990</v>
      </c>
      <c r="W14" s="13"/>
      <c r="X14" s="268" t="s">
        <v>147</v>
      </c>
      <c r="Y14" s="268" t="s">
        <v>147</v>
      </c>
      <c r="Z14" s="268" t="s">
        <v>147</v>
      </c>
      <c r="AA14" s="316">
        <f>SUM(X14:Z14)</f>
        <v>0</v>
      </c>
      <c r="AB14" s="320"/>
      <c r="AC14" s="9"/>
      <c r="AD14" s="10"/>
    </row>
    <row r="15" spans="1:30" ht="39" customHeight="1" thickBot="1" x14ac:dyDescent="0.55000000000000004">
      <c r="A15" s="385"/>
      <c r="B15" s="370"/>
      <c r="C15" s="64" t="s">
        <v>36</v>
      </c>
      <c r="D15" s="41"/>
      <c r="E15" s="42"/>
      <c r="F15" s="363"/>
      <c r="G15" s="363"/>
      <c r="H15" s="363"/>
      <c r="I15" s="363"/>
      <c r="J15" s="372"/>
      <c r="K15" s="234"/>
      <c r="L15" s="35"/>
      <c r="M15" s="36"/>
      <c r="N15" s="67"/>
      <c r="O15" s="37"/>
      <c r="P15" s="37"/>
      <c r="Q15" s="37"/>
      <c r="R15" s="37"/>
      <c r="S15" s="37"/>
      <c r="T15" s="68"/>
      <c r="U15" s="35"/>
      <c r="V15" s="218"/>
      <c r="W15" s="13"/>
      <c r="AA15" s="316"/>
      <c r="AB15" s="320"/>
      <c r="AC15" s="9"/>
      <c r="AD15" s="10"/>
    </row>
    <row r="16" spans="1:30" ht="39" customHeight="1" thickBot="1" x14ac:dyDescent="0.55000000000000004">
      <c r="A16" s="111"/>
      <c r="B16" s="186" t="s">
        <v>35</v>
      </c>
      <c r="C16" s="78" t="s">
        <v>31</v>
      </c>
      <c r="D16" s="79"/>
      <c r="E16" s="81" t="s">
        <v>41</v>
      </c>
      <c r="F16" s="364"/>
      <c r="G16" s="364"/>
      <c r="H16" s="364"/>
      <c r="I16" s="364"/>
      <c r="J16" s="373"/>
      <c r="K16" s="234"/>
      <c r="L16" s="54"/>
      <c r="M16" s="49"/>
      <c r="N16" s="76"/>
      <c r="O16" s="50"/>
      <c r="P16" s="50"/>
      <c r="Q16" s="50"/>
      <c r="R16" s="50"/>
      <c r="S16" s="50"/>
      <c r="T16" s="55"/>
      <c r="U16" s="54"/>
      <c r="V16" s="219"/>
      <c r="W16" s="238"/>
      <c r="X16" s="255"/>
      <c r="Y16" s="255"/>
      <c r="Z16" s="258"/>
      <c r="AA16" s="317"/>
      <c r="AB16" s="320"/>
      <c r="AC16" s="9"/>
      <c r="AD16" s="10"/>
    </row>
    <row r="17" spans="1:30" ht="39" customHeight="1" thickBot="1" x14ac:dyDescent="0.55000000000000004">
      <c r="A17" s="148"/>
      <c r="B17" s="368">
        <v>1824</v>
      </c>
      <c r="C17" s="60" t="s">
        <v>36</v>
      </c>
      <c r="D17" s="29" t="s">
        <v>18</v>
      </c>
      <c r="E17" s="30" t="s">
        <v>28</v>
      </c>
      <c r="F17" s="362" t="s">
        <v>37</v>
      </c>
      <c r="G17" s="362" t="s">
        <v>102</v>
      </c>
      <c r="H17" s="362" t="s">
        <v>38</v>
      </c>
      <c r="I17" s="362" t="s">
        <v>39</v>
      </c>
      <c r="J17" s="371" t="s">
        <v>48</v>
      </c>
      <c r="K17" s="234"/>
      <c r="L17" s="62" t="s">
        <v>34</v>
      </c>
      <c r="M17" s="32">
        <v>30</v>
      </c>
      <c r="N17" s="32">
        <v>31</v>
      </c>
      <c r="O17" s="32">
        <v>32</v>
      </c>
      <c r="P17" s="32">
        <v>33</v>
      </c>
      <c r="Q17" s="32">
        <v>34</v>
      </c>
      <c r="R17" s="56">
        <v>35</v>
      </c>
      <c r="S17" s="32"/>
      <c r="T17" s="56"/>
      <c r="U17" s="62"/>
      <c r="V17" s="217"/>
      <c r="W17" s="236"/>
      <c r="X17" s="268" t="s">
        <v>147</v>
      </c>
      <c r="Y17" s="268" t="s">
        <v>147</v>
      </c>
      <c r="Z17" s="256"/>
      <c r="AA17" s="315">
        <f>SUM(X17:Z17)</f>
        <v>0</v>
      </c>
      <c r="AB17" s="320"/>
      <c r="AC17" s="9"/>
      <c r="AD17" s="10"/>
    </row>
    <row r="18" spans="1:30" ht="39" customHeight="1" thickBot="1" x14ac:dyDescent="0.55000000000000004">
      <c r="A18" s="149"/>
      <c r="B18" s="369"/>
      <c r="C18" s="64" t="s">
        <v>40</v>
      </c>
      <c r="D18" s="41"/>
      <c r="E18" s="42"/>
      <c r="F18" s="363"/>
      <c r="G18" s="363"/>
      <c r="H18" s="363"/>
      <c r="I18" s="363"/>
      <c r="J18" s="372"/>
      <c r="K18" s="234"/>
      <c r="L18" s="35"/>
      <c r="M18" s="44">
        <v>2</v>
      </c>
      <c r="N18" s="44">
        <v>2</v>
      </c>
      <c r="O18" s="44">
        <v>2</v>
      </c>
      <c r="P18" s="44">
        <v>3</v>
      </c>
      <c r="Q18" s="44">
        <v>3</v>
      </c>
      <c r="R18" s="46">
        <v>3</v>
      </c>
      <c r="S18" s="44"/>
      <c r="T18" s="46"/>
      <c r="U18" s="66">
        <v>15</v>
      </c>
      <c r="V18" s="218">
        <v>12990</v>
      </c>
      <c r="W18" s="13"/>
      <c r="AA18" s="315"/>
      <c r="AB18" s="320"/>
      <c r="AC18" s="9"/>
      <c r="AD18" s="10"/>
    </row>
    <row r="19" spans="1:30" ht="39" customHeight="1" thickBot="1" x14ac:dyDescent="0.55000000000000004">
      <c r="A19" s="149"/>
      <c r="B19" s="369"/>
      <c r="C19" s="64" t="s">
        <v>40</v>
      </c>
      <c r="D19" s="41"/>
      <c r="E19" s="42"/>
      <c r="F19" s="363"/>
      <c r="G19" s="363"/>
      <c r="H19" s="363"/>
      <c r="I19" s="363"/>
      <c r="J19" s="372"/>
      <c r="K19" s="234"/>
      <c r="L19" s="35"/>
      <c r="M19" s="36"/>
      <c r="N19" s="67"/>
      <c r="O19" s="37"/>
      <c r="P19" s="37"/>
      <c r="Q19" s="37"/>
      <c r="R19" s="37"/>
      <c r="S19" s="37"/>
      <c r="T19" s="68"/>
      <c r="U19" s="35"/>
      <c r="V19" s="218"/>
      <c r="W19" s="13"/>
      <c r="AA19" s="315"/>
      <c r="AB19" s="320"/>
      <c r="AC19" s="9"/>
      <c r="AD19" s="10"/>
    </row>
    <row r="20" spans="1:30" ht="39" customHeight="1" thickBot="1" x14ac:dyDescent="0.55000000000000004">
      <c r="A20" s="149"/>
      <c r="B20" s="370"/>
      <c r="C20" s="64" t="s">
        <v>31</v>
      </c>
      <c r="D20" s="41"/>
      <c r="E20" s="42"/>
      <c r="F20" s="363"/>
      <c r="G20" s="363"/>
      <c r="H20" s="363"/>
      <c r="I20" s="363"/>
      <c r="J20" s="372"/>
      <c r="K20" s="234"/>
      <c r="L20" s="66"/>
      <c r="M20" s="95"/>
      <c r="N20" s="112"/>
      <c r="O20" s="96"/>
      <c r="P20" s="96"/>
      <c r="Q20" s="96"/>
      <c r="R20" s="96"/>
      <c r="S20" s="96"/>
      <c r="T20" s="113"/>
      <c r="U20" s="92"/>
      <c r="V20" s="218"/>
      <c r="W20" s="13"/>
      <c r="AA20" s="315"/>
      <c r="AB20" s="320"/>
      <c r="AC20" s="9"/>
      <c r="AD20" s="10"/>
    </row>
    <row r="21" spans="1:30" ht="39" customHeight="1" thickBot="1" x14ac:dyDescent="0.55000000000000004">
      <c r="A21" s="149"/>
      <c r="B21" s="186" t="s">
        <v>35</v>
      </c>
      <c r="C21" s="69"/>
      <c r="D21" s="114"/>
      <c r="E21" s="81" t="s">
        <v>41</v>
      </c>
      <c r="F21" s="364"/>
      <c r="G21" s="364"/>
      <c r="H21" s="364"/>
      <c r="I21" s="364"/>
      <c r="J21" s="373"/>
      <c r="K21" s="234"/>
      <c r="L21" s="71"/>
      <c r="M21" s="49"/>
      <c r="N21" s="76"/>
      <c r="O21" s="50"/>
      <c r="P21" s="50"/>
      <c r="Q21" s="50"/>
      <c r="R21" s="50"/>
      <c r="S21" s="50"/>
      <c r="T21" s="55"/>
      <c r="U21" s="54"/>
      <c r="V21" s="219"/>
      <c r="W21" s="238"/>
      <c r="X21" s="255"/>
      <c r="Y21" s="255"/>
      <c r="Z21" s="258"/>
      <c r="AA21" s="315"/>
      <c r="AB21" s="320"/>
      <c r="AC21" s="9"/>
      <c r="AD21" s="10"/>
    </row>
    <row r="22" spans="1:30" ht="39" customHeight="1" thickBot="1" x14ac:dyDescent="0.55000000000000004">
      <c r="A22" s="148"/>
      <c r="B22" s="368">
        <v>2920</v>
      </c>
      <c r="C22" s="64" t="s">
        <v>36</v>
      </c>
      <c r="D22" s="29" t="s">
        <v>18</v>
      </c>
      <c r="E22" s="30" t="s">
        <v>105</v>
      </c>
      <c r="F22" s="362" t="s">
        <v>59</v>
      </c>
      <c r="G22" s="362" t="s">
        <v>25</v>
      </c>
      <c r="H22" s="362" t="s">
        <v>66</v>
      </c>
      <c r="I22" s="362" t="s">
        <v>67</v>
      </c>
      <c r="J22" s="371" t="s">
        <v>68</v>
      </c>
      <c r="K22" s="234"/>
      <c r="L22" s="340" t="s">
        <v>30</v>
      </c>
      <c r="M22" s="341">
        <v>26</v>
      </c>
      <c r="N22" s="341">
        <v>27</v>
      </c>
      <c r="O22" s="341">
        <v>28</v>
      </c>
      <c r="P22" s="341">
        <v>29</v>
      </c>
      <c r="Q22" s="341"/>
      <c r="R22" s="342"/>
      <c r="S22" s="341"/>
      <c r="T22" s="342"/>
      <c r="U22" s="340"/>
      <c r="V22" s="321"/>
      <c r="W22" s="322"/>
      <c r="X22" s="323"/>
      <c r="Y22" s="323"/>
      <c r="Z22" s="343"/>
      <c r="AA22" s="325"/>
      <c r="AB22" s="326"/>
      <c r="AC22" s="10"/>
      <c r="AD22"/>
    </row>
    <row r="23" spans="1:30" ht="39" customHeight="1" thickBot="1" x14ac:dyDescent="0.55000000000000004">
      <c r="A23" s="149"/>
      <c r="B23" s="369"/>
      <c r="C23" s="64" t="s">
        <v>43</v>
      </c>
      <c r="D23" s="41" t="s">
        <v>18</v>
      </c>
      <c r="E23" s="42" t="s">
        <v>135</v>
      </c>
      <c r="F23" s="363"/>
      <c r="G23" s="363"/>
      <c r="H23" s="363"/>
      <c r="I23" s="363"/>
      <c r="J23" s="372"/>
      <c r="K23" s="234"/>
      <c r="L23" s="344" t="s">
        <v>34</v>
      </c>
      <c r="M23" s="345">
        <v>3</v>
      </c>
      <c r="N23" s="345">
        <v>3</v>
      </c>
      <c r="O23" s="345">
        <v>3</v>
      </c>
      <c r="P23" s="345">
        <v>3</v>
      </c>
      <c r="Q23" s="345"/>
      <c r="R23" s="346"/>
      <c r="S23" s="345"/>
      <c r="T23" s="346"/>
      <c r="U23" s="347">
        <v>12</v>
      </c>
      <c r="V23" s="331">
        <v>10990</v>
      </c>
      <c r="W23" s="332"/>
      <c r="X23" s="329"/>
      <c r="Y23" s="329"/>
      <c r="Z23" s="337"/>
      <c r="AA23" s="325"/>
      <c r="AB23" s="326"/>
      <c r="AC23" s="10"/>
      <c r="AD23"/>
    </row>
    <row r="24" spans="1:30" ht="39" customHeight="1" thickBot="1" x14ac:dyDescent="0.55000000000000004">
      <c r="A24" s="149"/>
      <c r="B24" s="370"/>
      <c r="C24" s="64" t="s">
        <v>43</v>
      </c>
      <c r="D24" s="41" t="s">
        <v>29</v>
      </c>
      <c r="E24" s="42" t="s">
        <v>136</v>
      </c>
      <c r="F24" s="363"/>
      <c r="G24" s="363"/>
      <c r="H24" s="363"/>
      <c r="I24" s="363"/>
      <c r="J24" s="372"/>
      <c r="K24" s="234"/>
      <c r="L24" s="344" t="s">
        <v>137</v>
      </c>
      <c r="M24" s="348">
        <v>30</v>
      </c>
      <c r="N24" s="349">
        <v>31</v>
      </c>
      <c r="O24" s="350">
        <v>32</v>
      </c>
      <c r="P24" s="350">
        <v>33</v>
      </c>
      <c r="Q24" s="350">
        <v>34</v>
      </c>
      <c r="R24" s="350">
        <v>35</v>
      </c>
      <c r="S24" s="350"/>
      <c r="T24" s="351"/>
      <c r="U24" s="344"/>
      <c r="V24" s="331"/>
      <c r="W24" s="332"/>
      <c r="X24" s="329">
        <v>15</v>
      </c>
      <c r="Y24" s="329"/>
      <c r="Z24" s="337"/>
      <c r="AA24" s="325">
        <f t="shared" ref="AA24:AA29" si="0">SUM(X24:Z24)</f>
        <v>15</v>
      </c>
      <c r="AB24" s="326">
        <v>15</v>
      </c>
      <c r="AC24" s="10"/>
      <c r="AD24"/>
    </row>
    <row r="25" spans="1:30" ht="39" customHeight="1" thickBot="1" x14ac:dyDescent="0.55000000000000004">
      <c r="A25" s="150"/>
      <c r="B25" s="187" t="s">
        <v>35</v>
      </c>
      <c r="C25" s="69" t="s">
        <v>31</v>
      </c>
      <c r="D25" s="41" t="s">
        <v>29</v>
      </c>
      <c r="E25" s="42" t="s">
        <v>106</v>
      </c>
      <c r="F25" s="364"/>
      <c r="G25" s="364"/>
      <c r="H25" s="364"/>
      <c r="I25" s="364"/>
      <c r="J25" s="373"/>
      <c r="K25" s="234"/>
      <c r="L25" s="352" t="s">
        <v>138</v>
      </c>
      <c r="M25" s="353">
        <v>3</v>
      </c>
      <c r="N25" s="354">
        <v>3</v>
      </c>
      <c r="O25" s="355">
        <v>3</v>
      </c>
      <c r="P25" s="355">
        <v>2</v>
      </c>
      <c r="Q25" s="355">
        <v>2</v>
      </c>
      <c r="R25" s="355">
        <v>2</v>
      </c>
      <c r="S25" s="355"/>
      <c r="T25" s="356"/>
      <c r="U25" s="357">
        <v>15</v>
      </c>
      <c r="V25" s="358">
        <v>11490</v>
      </c>
      <c r="W25" s="359"/>
      <c r="X25" s="335">
        <v>15</v>
      </c>
      <c r="Y25" s="335"/>
      <c r="Z25" s="360"/>
      <c r="AA25" s="325">
        <f t="shared" si="0"/>
        <v>15</v>
      </c>
      <c r="AB25" s="326">
        <v>15</v>
      </c>
      <c r="AC25" s="10"/>
      <c r="AD25"/>
    </row>
    <row r="26" spans="1:30" ht="39" customHeight="1" thickBot="1" x14ac:dyDescent="0.55000000000000004">
      <c r="A26" s="148"/>
      <c r="B26" s="368">
        <v>2937</v>
      </c>
      <c r="C26" s="60" t="s">
        <v>36</v>
      </c>
      <c r="D26" s="29" t="s">
        <v>23</v>
      </c>
      <c r="E26" s="30" t="s">
        <v>105</v>
      </c>
      <c r="F26" s="362" t="s">
        <v>59</v>
      </c>
      <c r="G26" s="362" t="s">
        <v>56</v>
      </c>
      <c r="H26" s="362" t="s">
        <v>66</v>
      </c>
      <c r="I26" s="362" t="s">
        <v>67</v>
      </c>
      <c r="J26" s="371" t="s">
        <v>68</v>
      </c>
      <c r="K26" s="234"/>
      <c r="L26" s="340" t="s">
        <v>30</v>
      </c>
      <c r="M26" s="341">
        <v>26</v>
      </c>
      <c r="N26" s="341">
        <v>27</v>
      </c>
      <c r="O26" s="341">
        <v>28</v>
      </c>
      <c r="P26" s="341">
        <v>29</v>
      </c>
      <c r="Q26" s="341"/>
      <c r="R26" s="342"/>
      <c r="S26" s="341"/>
      <c r="T26" s="342"/>
      <c r="U26" s="340"/>
      <c r="V26" s="321"/>
      <c r="W26" s="322"/>
      <c r="X26" s="323">
        <v>15</v>
      </c>
      <c r="Y26" s="323"/>
      <c r="Z26" s="343"/>
      <c r="AA26" s="325">
        <f t="shared" si="0"/>
        <v>15</v>
      </c>
      <c r="AB26" s="326">
        <v>15</v>
      </c>
      <c r="AC26" s="10"/>
      <c r="AD26"/>
    </row>
    <row r="27" spans="1:30" ht="39" customHeight="1" thickBot="1" x14ac:dyDescent="0.55000000000000004">
      <c r="A27" s="149"/>
      <c r="B27" s="369"/>
      <c r="C27" s="64" t="s">
        <v>43</v>
      </c>
      <c r="D27" s="41" t="s">
        <v>18</v>
      </c>
      <c r="E27" s="42" t="s">
        <v>135</v>
      </c>
      <c r="F27" s="363"/>
      <c r="G27" s="363"/>
      <c r="H27" s="363"/>
      <c r="I27" s="363"/>
      <c r="J27" s="372"/>
      <c r="K27" s="234"/>
      <c r="L27" s="344" t="s">
        <v>58</v>
      </c>
      <c r="M27" s="345">
        <v>3</v>
      </c>
      <c r="N27" s="345">
        <v>3</v>
      </c>
      <c r="O27" s="345">
        <v>3</v>
      </c>
      <c r="P27" s="345">
        <v>3</v>
      </c>
      <c r="Q27" s="345"/>
      <c r="R27" s="346"/>
      <c r="S27" s="345"/>
      <c r="T27" s="346"/>
      <c r="U27" s="347">
        <v>12</v>
      </c>
      <c r="V27" s="331">
        <v>10990</v>
      </c>
      <c r="W27" s="332"/>
      <c r="X27" s="329">
        <v>15</v>
      </c>
      <c r="Y27" s="329">
        <v>15</v>
      </c>
      <c r="Z27" s="337"/>
      <c r="AA27" s="325">
        <f t="shared" si="0"/>
        <v>30</v>
      </c>
      <c r="AB27" s="326">
        <v>30</v>
      </c>
      <c r="AC27" s="10"/>
      <c r="AD27"/>
    </row>
    <row r="28" spans="1:30" ht="39" customHeight="1" thickBot="1" x14ac:dyDescent="0.55000000000000004">
      <c r="A28" s="149"/>
      <c r="B28" s="370"/>
      <c r="C28" s="64" t="s">
        <v>43</v>
      </c>
      <c r="D28" s="41" t="s">
        <v>18</v>
      </c>
      <c r="E28" s="42" t="s">
        <v>139</v>
      </c>
      <c r="F28" s="363"/>
      <c r="G28" s="363"/>
      <c r="H28" s="363"/>
      <c r="I28" s="363"/>
      <c r="J28" s="372"/>
      <c r="K28" s="234"/>
      <c r="L28" s="344" t="s">
        <v>137</v>
      </c>
      <c r="M28" s="348">
        <v>30</v>
      </c>
      <c r="N28" s="349">
        <v>31</v>
      </c>
      <c r="O28" s="350">
        <v>32</v>
      </c>
      <c r="P28" s="350">
        <v>33</v>
      </c>
      <c r="Q28" s="350">
        <v>34</v>
      </c>
      <c r="R28" s="350"/>
      <c r="S28" s="350"/>
      <c r="T28" s="351"/>
      <c r="U28" s="344"/>
      <c r="V28" s="331"/>
      <c r="W28" s="332"/>
      <c r="X28" s="329">
        <v>15</v>
      </c>
      <c r="Y28" s="329"/>
      <c r="Z28" s="337"/>
      <c r="AA28" s="325">
        <f t="shared" si="0"/>
        <v>15</v>
      </c>
      <c r="AB28" s="326">
        <v>15</v>
      </c>
      <c r="AC28" s="10"/>
      <c r="AD28"/>
    </row>
    <row r="29" spans="1:30" ht="39" customHeight="1" thickBot="1" x14ac:dyDescent="0.55000000000000004">
      <c r="A29" s="150"/>
      <c r="B29" s="187" t="s">
        <v>72</v>
      </c>
      <c r="C29" s="69" t="s">
        <v>31</v>
      </c>
      <c r="D29" s="114" t="s">
        <v>18</v>
      </c>
      <c r="E29" s="70" t="s">
        <v>139</v>
      </c>
      <c r="F29" s="364"/>
      <c r="G29" s="364"/>
      <c r="H29" s="364"/>
      <c r="I29" s="364"/>
      <c r="J29" s="373"/>
      <c r="K29" s="234"/>
      <c r="L29" s="352" t="s">
        <v>140</v>
      </c>
      <c r="M29" s="353">
        <v>3</v>
      </c>
      <c r="N29" s="354">
        <v>3</v>
      </c>
      <c r="O29" s="355">
        <v>3</v>
      </c>
      <c r="P29" s="355">
        <v>3</v>
      </c>
      <c r="Q29" s="355">
        <v>3</v>
      </c>
      <c r="R29" s="355"/>
      <c r="S29" s="355"/>
      <c r="T29" s="356"/>
      <c r="U29" s="357">
        <v>15</v>
      </c>
      <c r="V29" s="358">
        <v>11490</v>
      </c>
      <c r="W29" s="359"/>
      <c r="X29" s="335">
        <v>15</v>
      </c>
      <c r="Y29" s="335">
        <v>15</v>
      </c>
      <c r="Z29" s="360"/>
      <c r="AA29" s="325">
        <f t="shared" si="0"/>
        <v>30</v>
      </c>
      <c r="AB29" s="326">
        <v>30</v>
      </c>
      <c r="AC29" s="10"/>
      <c r="AD29"/>
    </row>
    <row r="30" spans="1:30" ht="39" customHeight="1" thickBot="1" x14ac:dyDescent="0.65">
      <c r="A30" s="181" t="s">
        <v>74</v>
      </c>
      <c r="B30" s="200"/>
      <c r="C30" s="89"/>
      <c r="D30" s="90"/>
      <c r="E30" s="88"/>
      <c r="F30" s="88"/>
      <c r="G30" s="88"/>
      <c r="H30" s="88"/>
      <c r="I30" s="88"/>
      <c r="J30" s="88"/>
      <c r="K30" s="204"/>
      <c r="L30" s="88"/>
      <c r="M30" s="90"/>
      <c r="N30" s="90"/>
      <c r="O30" s="90"/>
      <c r="P30" s="90"/>
      <c r="Q30" s="90"/>
      <c r="R30" s="90"/>
      <c r="S30" s="90"/>
      <c r="T30" s="90"/>
      <c r="U30" s="90"/>
      <c r="V30" s="88"/>
      <c r="W30" s="88"/>
      <c r="X30" s="242"/>
      <c r="Y30" s="242"/>
      <c r="Z30" s="242"/>
      <c r="AA30" s="315"/>
      <c r="AB30" s="320"/>
      <c r="AC30" s="9"/>
      <c r="AD30" s="10"/>
    </row>
    <row r="31" spans="1:30" ht="39" customHeight="1" thickBot="1" x14ac:dyDescent="0.55000000000000004">
      <c r="A31" s="63"/>
      <c r="B31" s="368">
        <v>3024</v>
      </c>
      <c r="C31" s="60" t="s">
        <v>36</v>
      </c>
      <c r="D31" s="29" t="s">
        <v>18</v>
      </c>
      <c r="E31" s="30" t="s">
        <v>50</v>
      </c>
      <c r="F31" s="362" t="s">
        <v>59</v>
      </c>
      <c r="G31" s="362" t="s">
        <v>75</v>
      </c>
      <c r="H31" s="362" t="s">
        <v>26</v>
      </c>
      <c r="I31" s="362" t="s">
        <v>39</v>
      </c>
      <c r="J31" s="371" t="s">
        <v>81</v>
      </c>
      <c r="K31" s="205"/>
      <c r="L31" s="201" t="s">
        <v>71</v>
      </c>
      <c r="M31" s="31">
        <v>35</v>
      </c>
      <c r="N31" s="32">
        <v>36</v>
      </c>
      <c r="O31" s="32">
        <v>37</v>
      </c>
      <c r="P31" s="32">
        <v>38</v>
      </c>
      <c r="Q31" s="33">
        <v>39</v>
      </c>
      <c r="R31" s="33">
        <v>40</v>
      </c>
      <c r="S31" s="33"/>
      <c r="T31" s="83"/>
      <c r="U31" s="62"/>
      <c r="V31" s="217"/>
      <c r="W31" s="13"/>
      <c r="Y31" s="254" t="s">
        <v>149</v>
      </c>
      <c r="Z31" s="254"/>
      <c r="AA31" s="315">
        <f>SUM(X31:Z31)</f>
        <v>0</v>
      </c>
      <c r="AB31" s="319"/>
      <c r="AD31"/>
    </row>
    <row r="32" spans="1:30" ht="39" customHeight="1" thickBot="1" x14ac:dyDescent="0.55000000000000004">
      <c r="A32" s="45"/>
      <c r="B32" s="369"/>
      <c r="C32" s="64" t="s">
        <v>88</v>
      </c>
      <c r="D32" s="41" t="s">
        <v>19</v>
      </c>
      <c r="E32" s="42" t="s">
        <v>45</v>
      </c>
      <c r="F32" s="363"/>
      <c r="G32" s="363"/>
      <c r="H32" s="363"/>
      <c r="I32" s="363"/>
      <c r="J32" s="372"/>
      <c r="K32" s="205"/>
      <c r="L32" s="202"/>
      <c r="M32" s="43">
        <v>2</v>
      </c>
      <c r="N32" s="44">
        <v>3</v>
      </c>
      <c r="O32" s="44">
        <v>4</v>
      </c>
      <c r="P32" s="44">
        <v>3</v>
      </c>
      <c r="Q32" s="44">
        <v>2</v>
      </c>
      <c r="R32" s="44">
        <v>1</v>
      </c>
      <c r="S32" s="44"/>
      <c r="T32" s="46"/>
      <c r="U32" s="66">
        <v>15</v>
      </c>
      <c r="V32" s="218">
        <v>14990</v>
      </c>
      <c r="W32" s="13"/>
      <c r="Z32" s="254"/>
      <c r="AA32" s="315"/>
      <c r="AB32" s="319"/>
      <c r="AD32"/>
    </row>
    <row r="33" spans="1:30" ht="39" customHeight="1" thickBot="1" x14ac:dyDescent="0.55000000000000004">
      <c r="A33" s="45"/>
      <c r="B33" s="370"/>
      <c r="C33" s="64" t="s">
        <v>36</v>
      </c>
      <c r="D33" s="41"/>
      <c r="E33" s="42"/>
      <c r="F33" s="363"/>
      <c r="G33" s="363"/>
      <c r="H33" s="363"/>
      <c r="I33" s="363"/>
      <c r="J33" s="372"/>
      <c r="K33" s="205"/>
      <c r="L33" s="108"/>
      <c r="M33" s="36"/>
      <c r="N33" s="37"/>
      <c r="O33" s="37"/>
      <c r="P33" s="37"/>
      <c r="Q33" s="44"/>
      <c r="R33" s="44"/>
      <c r="S33" s="44"/>
      <c r="T33" s="46"/>
      <c r="U33" s="66"/>
      <c r="V33" s="218"/>
      <c r="W33" s="13"/>
      <c r="Z33" s="254"/>
      <c r="AA33" s="315"/>
      <c r="AB33" s="319"/>
      <c r="AD33"/>
    </row>
    <row r="34" spans="1:30" ht="39" customHeight="1" thickBot="1" x14ac:dyDescent="0.55000000000000004">
      <c r="A34" s="59"/>
      <c r="B34" s="188" t="s">
        <v>78</v>
      </c>
      <c r="C34" s="78" t="s">
        <v>31</v>
      </c>
      <c r="D34" s="79"/>
      <c r="E34" s="70"/>
      <c r="F34" s="364"/>
      <c r="G34" s="364"/>
      <c r="H34" s="364"/>
      <c r="I34" s="364"/>
      <c r="J34" s="373"/>
      <c r="K34" s="205"/>
      <c r="L34" s="110"/>
      <c r="M34" s="49"/>
      <c r="N34" s="50"/>
      <c r="O34" s="50"/>
      <c r="P34" s="50"/>
      <c r="Q34" s="50"/>
      <c r="R34" s="50"/>
      <c r="S34" s="50"/>
      <c r="T34" s="55"/>
      <c r="U34" s="54"/>
      <c r="V34" s="219"/>
      <c r="W34" s="13"/>
      <c r="Z34" s="254"/>
      <c r="AA34" s="315"/>
      <c r="AB34" s="319"/>
      <c r="AD34"/>
    </row>
    <row r="35" spans="1:30" ht="39" customHeight="1" thickBot="1" x14ac:dyDescent="0.55000000000000004">
      <c r="A35" s="386"/>
      <c r="B35" s="368">
        <v>3048</v>
      </c>
      <c r="C35" s="60" t="s">
        <v>36</v>
      </c>
      <c r="D35" s="29" t="s">
        <v>18</v>
      </c>
      <c r="E35" s="30" t="s">
        <v>50</v>
      </c>
      <c r="F35" s="362" t="s">
        <v>59</v>
      </c>
      <c r="G35" s="362" t="s">
        <v>75</v>
      </c>
      <c r="H35" s="362" t="s">
        <v>26</v>
      </c>
      <c r="I35" s="362" t="s">
        <v>22</v>
      </c>
      <c r="J35" s="371" t="s">
        <v>81</v>
      </c>
      <c r="K35" s="205"/>
      <c r="L35" s="201" t="s">
        <v>71</v>
      </c>
      <c r="M35" s="31">
        <v>35</v>
      </c>
      <c r="N35" s="32">
        <v>36</v>
      </c>
      <c r="O35" s="32">
        <v>37</v>
      </c>
      <c r="P35" s="32">
        <v>38</v>
      </c>
      <c r="Q35" s="32">
        <v>39</v>
      </c>
      <c r="R35" s="32">
        <v>40</v>
      </c>
      <c r="S35" s="32"/>
      <c r="T35" s="56"/>
      <c r="U35" s="104"/>
      <c r="V35" s="217"/>
      <c r="W35" s="13"/>
      <c r="Z35" s="254"/>
      <c r="AA35" s="315"/>
      <c r="AB35" s="319"/>
      <c r="AD35"/>
    </row>
    <row r="36" spans="1:30" ht="39" customHeight="1" thickBot="1" x14ac:dyDescent="0.55000000000000004">
      <c r="A36" s="381"/>
      <c r="B36" s="369"/>
      <c r="C36" s="64" t="s">
        <v>43</v>
      </c>
      <c r="D36" s="41"/>
      <c r="E36" s="42"/>
      <c r="F36" s="363"/>
      <c r="G36" s="363"/>
      <c r="H36" s="363"/>
      <c r="I36" s="363"/>
      <c r="J36" s="372"/>
      <c r="K36" s="205"/>
      <c r="L36" s="202"/>
      <c r="M36" s="43">
        <v>2</v>
      </c>
      <c r="N36" s="44">
        <v>3</v>
      </c>
      <c r="O36" s="44">
        <v>4</v>
      </c>
      <c r="P36" s="44">
        <v>3</v>
      </c>
      <c r="Q36" s="44">
        <v>2</v>
      </c>
      <c r="R36" s="44">
        <v>1</v>
      </c>
      <c r="S36" s="44"/>
      <c r="T36" s="46"/>
      <c r="U36" s="105">
        <v>15</v>
      </c>
      <c r="V36" s="218">
        <v>12990</v>
      </c>
      <c r="W36" s="13"/>
      <c r="Z36" s="254"/>
      <c r="AA36" s="315"/>
      <c r="AB36" s="319"/>
      <c r="AD36"/>
    </row>
    <row r="37" spans="1:30" ht="39" customHeight="1" thickBot="1" x14ac:dyDescent="0.55000000000000004">
      <c r="A37" s="381"/>
      <c r="B37" s="370"/>
      <c r="C37" s="64" t="s">
        <v>36</v>
      </c>
      <c r="D37" s="41"/>
      <c r="E37" s="42"/>
      <c r="F37" s="363"/>
      <c r="G37" s="363"/>
      <c r="H37" s="363"/>
      <c r="I37" s="363"/>
      <c r="J37" s="372"/>
      <c r="K37" s="205"/>
      <c r="L37" s="108"/>
      <c r="M37" s="43"/>
      <c r="N37" s="44"/>
      <c r="O37" s="44"/>
      <c r="P37" s="44"/>
      <c r="Q37" s="44"/>
      <c r="R37" s="44"/>
      <c r="S37" s="44"/>
      <c r="T37" s="68"/>
      <c r="U37" s="105"/>
      <c r="V37" s="218"/>
      <c r="W37" s="13"/>
      <c r="Z37" s="254"/>
      <c r="AA37" s="315"/>
      <c r="AB37" s="319"/>
      <c r="AD37"/>
    </row>
    <row r="38" spans="1:30" ht="39" customHeight="1" thickBot="1" x14ac:dyDescent="0.55000000000000004">
      <c r="A38" s="382"/>
      <c r="B38" s="187" t="s">
        <v>85</v>
      </c>
      <c r="C38" s="78" t="s">
        <v>31</v>
      </c>
      <c r="D38" s="52"/>
      <c r="E38" s="53"/>
      <c r="F38" s="364"/>
      <c r="G38" s="364"/>
      <c r="H38" s="364"/>
      <c r="I38" s="364"/>
      <c r="J38" s="373"/>
      <c r="K38" s="205"/>
      <c r="L38" s="110"/>
      <c r="M38" s="49"/>
      <c r="N38" s="50"/>
      <c r="O38" s="50"/>
      <c r="P38" s="50"/>
      <c r="Q38" s="50"/>
      <c r="R38" s="50"/>
      <c r="S38" s="50"/>
      <c r="T38" s="55"/>
      <c r="U38" s="120"/>
      <c r="V38" s="219"/>
      <c r="W38" s="13"/>
      <c r="Z38" s="254"/>
      <c r="AA38" s="315"/>
      <c r="AB38" s="319"/>
      <c r="AD38"/>
    </row>
    <row r="39" spans="1:30" ht="39" customHeight="1" thickBot="1" x14ac:dyDescent="0.55000000000000004">
      <c r="A39" s="148"/>
      <c r="B39" s="378">
        <v>3097</v>
      </c>
      <c r="C39" s="60" t="s">
        <v>36</v>
      </c>
      <c r="D39" s="29" t="s">
        <v>18</v>
      </c>
      <c r="E39" s="30" t="s">
        <v>33</v>
      </c>
      <c r="F39" s="362" t="s">
        <v>59</v>
      </c>
      <c r="G39" s="362" t="s">
        <v>75</v>
      </c>
      <c r="H39" s="362" t="s">
        <v>26</v>
      </c>
      <c r="I39" s="362" t="s">
        <v>22</v>
      </c>
      <c r="J39" s="371" t="s">
        <v>87</v>
      </c>
      <c r="K39" s="205"/>
      <c r="L39" s="126" t="s">
        <v>71</v>
      </c>
      <c r="M39" s="32">
        <v>35</v>
      </c>
      <c r="N39" s="32">
        <v>36</v>
      </c>
      <c r="O39" s="32">
        <v>37</v>
      </c>
      <c r="P39" s="32">
        <v>38</v>
      </c>
      <c r="Q39" s="32">
        <v>39</v>
      </c>
      <c r="R39" s="56">
        <v>40</v>
      </c>
      <c r="S39" s="32"/>
      <c r="T39" s="56"/>
      <c r="U39" s="62"/>
      <c r="V39" s="217"/>
      <c r="W39" s="13"/>
      <c r="AA39" s="315"/>
      <c r="AB39" s="319"/>
      <c r="AC39" s="10"/>
      <c r="AD39"/>
    </row>
    <row r="40" spans="1:30" ht="39" customHeight="1" thickBot="1" x14ac:dyDescent="0.55000000000000004">
      <c r="A40" s="149"/>
      <c r="B40" s="379"/>
      <c r="C40" s="64" t="s">
        <v>43</v>
      </c>
      <c r="D40" s="51"/>
      <c r="E40" s="40"/>
      <c r="F40" s="363"/>
      <c r="G40" s="363"/>
      <c r="H40" s="363">
        <v>0</v>
      </c>
      <c r="I40" s="363"/>
      <c r="J40" s="372"/>
      <c r="K40" s="205"/>
      <c r="L40" s="108"/>
      <c r="M40" s="44">
        <v>1</v>
      </c>
      <c r="N40" s="44">
        <v>3</v>
      </c>
      <c r="O40" s="44">
        <v>4</v>
      </c>
      <c r="P40" s="44">
        <v>4</v>
      </c>
      <c r="Q40" s="44">
        <v>2</v>
      </c>
      <c r="R40" s="46">
        <v>1</v>
      </c>
      <c r="S40" s="44"/>
      <c r="T40" s="46"/>
      <c r="U40" s="66">
        <v>15</v>
      </c>
      <c r="V40" s="218">
        <v>13490</v>
      </c>
      <c r="W40" s="13"/>
      <c r="AA40" s="315"/>
      <c r="AB40" s="319"/>
      <c r="AC40" s="10"/>
      <c r="AD40"/>
    </row>
    <row r="41" spans="1:30" ht="39" customHeight="1" thickBot="1" x14ac:dyDescent="0.55000000000000004">
      <c r="A41" s="149"/>
      <c r="B41" s="380"/>
      <c r="C41" s="64" t="s">
        <v>43</v>
      </c>
      <c r="D41" s="41"/>
      <c r="E41" s="42"/>
      <c r="F41" s="363"/>
      <c r="G41" s="363"/>
      <c r="H41" s="363">
        <v>0</v>
      </c>
      <c r="I41" s="363"/>
      <c r="J41" s="372"/>
      <c r="K41" s="205"/>
      <c r="L41" s="108"/>
      <c r="M41" s="36"/>
      <c r="N41" s="67"/>
      <c r="O41" s="37"/>
      <c r="P41" s="37"/>
      <c r="Q41" s="37"/>
      <c r="R41" s="37"/>
      <c r="S41" s="37"/>
      <c r="T41" s="68"/>
      <c r="U41" s="66"/>
      <c r="V41" s="218"/>
      <c r="W41" s="13"/>
      <c r="AA41" s="315"/>
      <c r="AB41" s="319"/>
      <c r="AC41" s="10"/>
      <c r="AD41"/>
    </row>
    <row r="42" spans="1:30" ht="39" customHeight="1" thickBot="1" x14ac:dyDescent="0.55000000000000004">
      <c r="A42" s="150"/>
      <c r="B42" s="188" t="s">
        <v>78</v>
      </c>
      <c r="C42" s="78" t="s">
        <v>31</v>
      </c>
      <c r="D42" s="114"/>
      <c r="E42" s="81" t="s">
        <v>79</v>
      </c>
      <c r="F42" s="364"/>
      <c r="G42" s="364"/>
      <c r="H42" s="364">
        <v>0</v>
      </c>
      <c r="I42" s="364"/>
      <c r="J42" s="373"/>
      <c r="K42" s="205"/>
      <c r="L42" s="116"/>
      <c r="M42" s="49"/>
      <c r="N42" s="76"/>
      <c r="O42" s="50"/>
      <c r="P42" s="50"/>
      <c r="Q42" s="50"/>
      <c r="R42" s="50"/>
      <c r="S42" s="50"/>
      <c r="T42" s="55"/>
      <c r="U42" s="71"/>
      <c r="V42" s="219"/>
      <c r="W42" s="13"/>
      <c r="AA42" s="315"/>
      <c r="AB42" s="319"/>
      <c r="AC42" s="10"/>
      <c r="AD42"/>
    </row>
    <row r="43" spans="1:30" ht="39" customHeight="1" thickBot="1" x14ac:dyDescent="0.55000000000000004">
      <c r="A43" s="381"/>
      <c r="B43" s="387" t="s">
        <v>108</v>
      </c>
      <c r="C43" s="64" t="s">
        <v>36</v>
      </c>
      <c r="D43" s="139" t="s">
        <v>18</v>
      </c>
      <c r="E43" s="40" t="s">
        <v>50</v>
      </c>
      <c r="F43" s="363" t="s">
        <v>59</v>
      </c>
      <c r="G43" s="363" t="s">
        <v>75</v>
      </c>
      <c r="H43" s="363" t="s">
        <v>26</v>
      </c>
      <c r="I43" s="363" t="s">
        <v>22</v>
      </c>
      <c r="J43" s="372" t="s">
        <v>87</v>
      </c>
      <c r="K43" s="205"/>
      <c r="L43" s="127" t="s">
        <v>71</v>
      </c>
      <c r="M43" s="36">
        <v>35</v>
      </c>
      <c r="N43" s="37">
        <v>36</v>
      </c>
      <c r="O43" s="37">
        <v>37</v>
      </c>
      <c r="P43" s="37">
        <v>38</v>
      </c>
      <c r="Q43" s="37">
        <v>39</v>
      </c>
      <c r="R43" s="37">
        <v>40</v>
      </c>
      <c r="S43" s="37"/>
      <c r="T43" s="68"/>
      <c r="U43" s="119"/>
      <c r="V43" s="218"/>
      <c r="W43" s="13"/>
      <c r="Z43" s="254"/>
      <c r="AA43" s="315"/>
      <c r="AB43" s="319"/>
      <c r="AD43"/>
    </row>
    <row r="44" spans="1:30" ht="39" customHeight="1" thickBot="1" x14ac:dyDescent="0.55000000000000004">
      <c r="A44" s="381"/>
      <c r="B44" s="387"/>
      <c r="C44" s="64" t="s">
        <v>43</v>
      </c>
      <c r="D44" s="139"/>
      <c r="E44" s="40"/>
      <c r="F44" s="363"/>
      <c r="G44" s="363"/>
      <c r="H44" s="363">
        <v>0</v>
      </c>
      <c r="I44" s="363"/>
      <c r="J44" s="372"/>
      <c r="K44" s="205"/>
      <c r="L44" s="206"/>
      <c r="M44" s="43">
        <v>1</v>
      </c>
      <c r="N44" s="44">
        <v>2</v>
      </c>
      <c r="O44" s="44">
        <v>4</v>
      </c>
      <c r="P44" s="44">
        <v>4</v>
      </c>
      <c r="Q44" s="44">
        <v>3</v>
      </c>
      <c r="R44" s="44">
        <v>1</v>
      </c>
      <c r="S44" s="44"/>
      <c r="T44" s="46"/>
      <c r="U44" s="105">
        <v>15</v>
      </c>
      <c r="V44" s="218">
        <v>13490</v>
      </c>
      <c r="W44" s="13"/>
      <c r="Z44" s="254"/>
      <c r="AA44" s="315"/>
      <c r="AB44" s="319"/>
      <c r="AD44"/>
    </row>
    <row r="45" spans="1:30" ht="39" customHeight="1" thickBot="1" x14ac:dyDescent="0.55000000000000004">
      <c r="A45" s="381"/>
      <c r="B45" s="388"/>
      <c r="C45" s="64" t="s">
        <v>36</v>
      </c>
      <c r="D45" s="41"/>
      <c r="E45" s="42"/>
      <c r="F45" s="363"/>
      <c r="G45" s="363"/>
      <c r="H45" s="363">
        <v>0</v>
      </c>
      <c r="I45" s="363"/>
      <c r="J45" s="372"/>
      <c r="K45" s="205"/>
      <c r="L45" s="207"/>
      <c r="M45" s="43"/>
      <c r="N45" s="44"/>
      <c r="O45" s="44"/>
      <c r="P45" s="44"/>
      <c r="Q45" s="44"/>
      <c r="R45" s="44"/>
      <c r="S45" s="44"/>
      <c r="T45" s="68"/>
      <c r="U45" s="105"/>
      <c r="V45" s="218"/>
      <c r="W45" s="13"/>
      <c r="Z45" s="254"/>
      <c r="AA45" s="315"/>
      <c r="AB45" s="319"/>
      <c r="AD45"/>
    </row>
    <row r="46" spans="1:30" ht="39" customHeight="1" thickBot="1" x14ac:dyDescent="0.55000000000000004">
      <c r="A46" s="382"/>
      <c r="B46" s="189" t="s">
        <v>85</v>
      </c>
      <c r="C46" s="78" t="s">
        <v>31</v>
      </c>
      <c r="D46" s="117"/>
      <c r="E46" s="84"/>
      <c r="F46" s="364"/>
      <c r="G46" s="364"/>
      <c r="H46" s="364">
        <v>0</v>
      </c>
      <c r="I46" s="364"/>
      <c r="J46" s="373"/>
      <c r="K46" s="205"/>
      <c r="L46" s="208"/>
      <c r="M46" s="49"/>
      <c r="N46" s="50"/>
      <c r="O46" s="50"/>
      <c r="P46" s="50"/>
      <c r="Q46" s="50"/>
      <c r="R46" s="50"/>
      <c r="S46" s="50"/>
      <c r="T46" s="55"/>
      <c r="U46" s="120"/>
      <c r="V46" s="219"/>
      <c r="W46" s="13"/>
      <c r="Z46" s="254"/>
      <c r="AA46" s="315"/>
      <c r="AB46" s="319"/>
      <c r="AD46"/>
    </row>
    <row r="47" spans="1:30" ht="39" customHeight="1" thickBot="1" x14ac:dyDescent="0.55000000000000004">
      <c r="A47" s="63"/>
      <c r="B47" s="368">
        <v>3128</v>
      </c>
      <c r="C47" s="60" t="s">
        <v>36</v>
      </c>
      <c r="D47" s="29" t="s">
        <v>18</v>
      </c>
      <c r="E47" s="30" t="s">
        <v>50</v>
      </c>
      <c r="F47" s="362" t="s">
        <v>59</v>
      </c>
      <c r="G47" s="362" t="s">
        <v>75</v>
      </c>
      <c r="H47" s="362" t="s">
        <v>26</v>
      </c>
      <c r="I47" s="362" t="s">
        <v>39</v>
      </c>
      <c r="J47" s="371" t="s">
        <v>81</v>
      </c>
      <c r="K47" s="205"/>
      <c r="L47" s="201" t="s">
        <v>71</v>
      </c>
      <c r="M47" s="31">
        <v>35</v>
      </c>
      <c r="N47" s="32">
        <v>36</v>
      </c>
      <c r="O47" s="32">
        <v>37</v>
      </c>
      <c r="P47" s="32">
        <v>38</v>
      </c>
      <c r="Q47" s="33">
        <v>39</v>
      </c>
      <c r="R47" s="33">
        <v>40</v>
      </c>
      <c r="S47" s="33"/>
      <c r="T47" s="83"/>
      <c r="U47" s="62"/>
      <c r="V47" s="217"/>
      <c r="W47" s="13"/>
      <c r="X47" s="254" t="s">
        <v>149</v>
      </c>
      <c r="Z47" s="254"/>
      <c r="AA47" s="315">
        <f>SUM(X47:Z47)</f>
        <v>0</v>
      </c>
      <c r="AB47" s="319"/>
      <c r="AD47"/>
    </row>
    <row r="48" spans="1:30" ht="39" customHeight="1" thickBot="1" x14ac:dyDescent="0.55000000000000004">
      <c r="A48" s="45"/>
      <c r="B48" s="369"/>
      <c r="C48" s="64" t="s">
        <v>88</v>
      </c>
      <c r="D48" s="41"/>
      <c r="E48" s="42"/>
      <c r="F48" s="363"/>
      <c r="G48" s="363"/>
      <c r="H48" s="363"/>
      <c r="I48" s="363"/>
      <c r="J48" s="372"/>
      <c r="K48" s="205"/>
      <c r="L48" s="202"/>
      <c r="M48" s="43">
        <v>2</v>
      </c>
      <c r="N48" s="44">
        <v>3</v>
      </c>
      <c r="O48" s="44">
        <v>4</v>
      </c>
      <c r="P48" s="44">
        <v>3</v>
      </c>
      <c r="Q48" s="44">
        <v>2</v>
      </c>
      <c r="R48" s="44">
        <v>1</v>
      </c>
      <c r="S48" s="44"/>
      <c r="T48" s="46"/>
      <c r="U48" s="66">
        <v>15</v>
      </c>
      <c r="V48" s="218">
        <v>14990</v>
      </c>
      <c r="W48" s="13"/>
      <c r="Z48" s="254"/>
      <c r="AA48" s="315"/>
      <c r="AB48" s="319"/>
      <c r="AD48"/>
    </row>
    <row r="49" spans="1:30" ht="39" customHeight="1" thickBot="1" x14ac:dyDescent="0.55000000000000004">
      <c r="A49" s="45"/>
      <c r="B49" s="370"/>
      <c r="C49" s="64" t="s">
        <v>36</v>
      </c>
      <c r="D49" s="41"/>
      <c r="E49" s="42"/>
      <c r="F49" s="363"/>
      <c r="G49" s="363"/>
      <c r="H49" s="363"/>
      <c r="I49" s="363"/>
      <c r="J49" s="372"/>
      <c r="K49" s="205"/>
      <c r="L49" s="108"/>
      <c r="M49" s="36"/>
      <c r="N49" s="37"/>
      <c r="O49" s="37"/>
      <c r="P49" s="37"/>
      <c r="Q49" s="44"/>
      <c r="R49" s="44"/>
      <c r="S49" s="44"/>
      <c r="T49" s="46"/>
      <c r="U49" s="66"/>
      <c r="V49" s="218"/>
      <c r="W49" s="13"/>
      <c r="Z49" s="254"/>
      <c r="AA49" s="315"/>
      <c r="AB49" s="319"/>
      <c r="AD49"/>
    </row>
    <row r="50" spans="1:30" ht="39" customHeight="1" thickBot="1" x14ac:dyDescent="0.55000000000000004">
      <c r="A50" s="59"/>
      <c r="B50" s="188" t="s">
        <v>78</v>
      </c>
      <c r="C50" s="78" t="s">
        <v>31</v>
      </c>
      <c r="D50" s="79"/>
      <c r="E50" s="70"/>
      <c r="F50" s="364"/>
      <c r="G50" s="364"/>
      <c r="H50" s="364"/>
      <c r="I50" s="364"/>
      <c r="J50" s="373"/>
      <c r="K50" s="205"/>
      <c r="L50" s="110"/>
      <c r="M50" s="49"/>
      <c r="N50" s="50"/>
      <c r="O50" s="50"/>
      <c r="P50" s="50"/>
      <c r="Q50" s="50"/>
      <c r="R50" s="50"/>
      <c r="S50" s="50"/>
      <c r="T50" s="55"/>
      <c r="U50" s="54"/>
      <c r="V50" s="219"/>
      <c r="W50" s="13"/>
      <c r="Z50" s="254"/>
      <c r="AA50" s="315"/>
      <c r="AB50" s="319"/>
      <c r="AD50"/>
    </row>
    <row r="51" spans="1:30" ht="39" customHeight="1" thickBot="1" x14ac:dyDescent="0.55000000000000004">
      <c r="A51" s="63"/>
      <c r="B51" s="368">
        <v>3138</v>
      </c>
      <c r="C51" s="60" t="s">
        <v>97</v>
      </c>
      <c r="D51" s="29" t="s">
        <v>18</v>
      </c>
      <c r="E51" s="30" t="s">
        <v>50</v>
      </c>
      <c r="F51" s="362" t="s">
        <v>59</v>
      </c>
      <c r="G51" s="362" t="s">
        <v>75</v>
      </c>
      <c r="H51" s="362" t="s">
        <v>26</v>
      </c>
      <c r="I51" s="362" t="s">
        <v>39</v>
      </c>
      <c r="J51" s="371" t="s">
        <v>76</v>
      </c>
      <c r="K51" s="205"/>
      <c r="L51" s="201" t="s">
        <v>71</v>
      </c>
      <c r="M51" s="31">
        <v>35</v>
      </c>
      <c r="N51" s="32">
        <v>36</v>
      </c>
      <c r="O51" s="32">
        <v>37</v>
      </c>
      <c r="P51" s="32">
        <v>38</v>
      </c>
      <c r="Q51" s="33">
        <v>39</v>
      </c>
      <c r="R51" s="33">
        <v>40</v>
      </c>
      <c r="S51" s="33"/>
      <c r="T51" s="83"/>
      <c r="U51" s="62"/>
      <c r="V51" s="217"/>
      <c r="W51" s="13"/>
      <c r="Z51" s="254"/>
      <c r="AA51" s="315"/>
      <c r="AB51" s="319"/>
      <c r="AD51"/>
    </row>
    <row r="52" spans="1:30" ht="39" customHeight="1" thickBot="1" x14ac:dyDescent="0.55000000000000004">
      <c r="A52" s="93"/>
      <c r="B52" s="369"/>
      <c r="C52" s="64" t="s">
        <v>88</v>
      </c>
      <c r="D52" s="41"/>
      <c r="E52" s="42"/>
      <c r="F52" s="363"/>
      <c r="G52" s="363"/>
      <c r="H52" s="363"/>
      <c r="I52" s="363"/>
      <c r="J52" s="372"/>
      <c r="K52" s="205"/>
      <c r="L52" s="202"/>
      <c r="M52" s="43">
        <v>2</v>
      </c>
      <c r="N52" s="44">
        <v>3</v>
      </c>
      <c r="O52" s="44">
        <v>4</v>
      </c>
      <c r="P52" s="44">
        <v>3</v>
      </c>
      <c r="Q52" s="44">
        <v>2</v>
      </c>
      <c r="R52" s="44">
        <v>1</v>
      </c>
      <c r="S52" s="44"/>
      <c r="T52" s="46"/>
      <c r="U52" s="66">
        <v>15</v>
      </c>
      <c r="V52" s="218">
        <v>12990</v>
      </c>
      <c r="W52" s="13"/>
      <c r="Z52" s="254"/>
      <c r="AA52" s="315"/>
      <c r="AB52" s="319"/>
      <c r="AD52"/>
    </row>
    <row r="53" spans="1:30" ht="39" customHeight="1" thickBot="1" x14ac:dyDescent="0.55000000000000004">
      <c r="A53" s="45"/>
      <c r="B53" s="370"/>
      <c r="C53" s="64" t="s">
        <v>36</v>
      </c>
      <c r="D53" s="41"/>
      <c r="E53" s="42"/>
      <c r="F53" s="363"/>
      <c r="G53" s="363"/>
      <c r="H53" s="363"/>
      <c r="I53" s="363"/>
      <c r="J53" s="372"/>
      <c r="K53" s="205"/>
      <c r="L53" s="108"/>
      <c r="M53" s="36"/>
      <c r="N53" s="37"/>
      <c r="O53" s="37"/>
      <c r="P53" s="37"/>
      <c r="Q53" s="44"/>
      <c r="R53" s="44"/>
      <c r="S53" s="44"/>
      <c r="T53" s="46"/>
      <c r="U53" s="66"/>
      <c r="V53" s="218"/>
      <c r="W53" s="13"/>
      <c r="Z53" s="254"/>
      <c r="AA53" s="315"/>
      <c r="AB53" s="319"/>
      <c r="AD53"/>
    </row>
    <row r="54" spans="1:30" ht="39" customHeight="1" thickBot="1" x14ac:dyDescent="0.55000000000000004">
      <c r="A54" s="59"/>
      <c r="B54" s="188" t="s">
        <v>78</v>
      </c>
      <c r="C54" s="78" t="s">
        <v>36</v>
      </c>
      <c r="D54" s="79"/>
      <c r="E54" s="94" t="s">
        <v>129</v>
      </c>
      <c r="F54" s="364"/>
      <c r="G54" s="364"/>
      <c r="H54" s="364"/>
      <c r="I54" s="364"/>
      <c r="J54" s="373"/>
      <c r="K54" s="205"/>
      <c r="L54" s="110"/>
      <c r="M54" s="49"/>
      <c r="N54" s="50"/>
      <c r="O54" s="50"/>
      <c r="P54" s="50"/>
      <c r="Q54" s="50"/>
      <c r="R54" s="50"/>
      <c r="S54" s="50"/>
      <c r="T54" s="55"/>
      <c r="U54" s="54"/>
      <c r="V54" s="219"/>
      <c r="W54" s="13"/>
      <c r="Z54" s="254"/>
      <c r="AA54" s="315"/>
      <c r="AB54" s="319"/>
      <c r="AD54"/>
    </row>
    <row r="55" spans="1:30" ht="39" customHeight="1" thickBot="1" x14ac:dyDescent="0.55000000000000004">
      <c r="A55" s="151"/>
      <c r="B55" s="378">
        <v>3209</v>
      </c>
      <c r="C55" s="60" t="s">
        <v>44</v>
      </c>
      <c r="D55" s="29" t="s">
        <v>18</v>
      </c>
      <c r="E55" s="30" t="s">
        <v>50</v>
      </c>
      <c r="F55" s="362" t="s">
        <v>59</v>
      </c>
      <c r="G55" s="362" t="s">
        <v>75</v>
      </c>
      <c r="H55" s="362" t="s">
        <v>26</v>
      </c>
      <c r="I55" s="362" t="s">
        <v>22</v>
      </c>
      <c r="J55" s="371" t="s">
        <v>87</v>
      </c>
      <c r="K55" s="205"/>
      <c r="L55" s="126" t="s">
        <v>71</v>
      </c>
      <c r="M55" s="124">
        <v>35</v>
      </c>
      <c r="N55" s="125">
        <v>36</v>
      </c>
      <c r="O55" s="125">
        <v>37</v>
      </c>
      <c r="P55" s="125">
        <v>38</v>
      </c>
      <c r="Q55" s="125">
        <v>39</v>
      </c>
      <c r="R55" s="125">
        <v>40</v>
      </c>
      <c r="S55" s="32"/>
      <c r="T55" s="56"/>
      <c r="U55" s="62"/>
      <c r="V55" s="217"/>
      <c r="W55" s="13"/>
      <c r="Z55" s="254"/>
      <c r="AA55" s="315"/>
      <c r="AB55" s="319"/>
      <c r="AD55"/>
    </row>
    <row r="56" spans="1:30" ht="39" customHeight="1" thickBot="1" x14ac:dyDescent="0.55000000000000004">
      <c r="A56" s="152"/>
      <c r="B56" s="379"/>
      <c r="C56" s="64" t="s">
        <v>43</v>
      </c>
      <c r="D56" s="41"/>
      <c r="E56" s="42"/>
      <c r="F56" s="363"/>
      <c r="G56" s="363"/>
      <c r="H56" s="363"/>
      <c r="I56" s="363"/>
      <c r="J56" s="372"/>
      <c r="K56" s="205"/>
      <c r="L56" s="206"/>
      <c r="M56" s="43">
        <v>2</v>
      </c>
      <c r="N56" s="44">
        <v>3</v>
      </c>
      <c r="O56" s="44">
        <v>4</v>
      </c>
      <c r="P56" s="44">
        <v>3</v>
      </c>
      <c r="Q56" s="44">
        <v>2</v>
      </c>
      <c r="R56" s="44">
        <v>1</v>
      </c>
      <c r="S56" s="44"/>
      <c r="T56" s="46"/>
      <c r="U56" s="66">
        <v>15</v>
      </c>
      <c r="V56" s="218">
        <v>13990</v>
      </c>
      <c r="W56" s="13"/>
      <c r="Z56" s="254"/>
      <c r="AA56" s="315"/>
      <c r="AB56" s="319"/>
      <c r="AD56"/>
    </row>
    <row r="57" spans="1:30" ht="39" customHeight="1" thickBot="1" x14ac:dyDescent="0.55000000000000004">
      <c r="A57" s="152"/>
      <c r="B57" s="380"/>
      <c r="C57" s="64" t="s">
        <v>43</v>
      </c>
      <c r="D57" s="41"/>
      <c r="E57" s="42"/>
      <c r="F57" s="363"/>
      <c r="G57" s="363"/>
      <c r="H57" s="363"/>
      <c r="I57" s="363"/>
      <c r="J57" s="372"/>
      <c r="K57" s="205"/>
      <c r="L57" s="207"/>
      <c r="M57" s="36"/>
      <c r="N57" s="37"/>
      <c r="O57" s="37"/>
      <c r="P57" s="37"/>
      <c r="Q57" s="48"/>
      <c r="R57" s="48"/>
      <c r="S57" s="44"/>
      <c r="T57" s="46"/>
      <c r="U57" s="35"/>
      <c r="V57" s="218"/>
      <c r="W57" s="13"/>
      <c r="Z57" s="254"/>
      <c r="AA57" s="315"/>
      <c r="AB57" s="319"/>
      <c r="AD57"/>
    </row>
    <row r="58" spans="1:30" ht="39" customHeight="1" thickBot="1" x14ac:dyDescent="0.55000000000000004">
      <c r="A58" s="153"/>
      <c r="B58" s="187" t="s">
        <v>85</v>
      </c>
      <c r="C58" s="78" t="s">
        <v>31</v>
      </c>
      <c r="D58" s="114"/>
      <c r="E58" s="123"/>
      <c r="F58" s="364"/>
      <c r="G58" s="364"/>
      <c r="H58" s="364"/>
      <c r="I58" s="364"/>
      <c r="J58" s="373"/>
      <c r="K58" s="205"/>
      <c r="L58" s="208"/>
      <c r="M58" s="43"/>
      <c r="N58" s="44"/>
      <c r="O58" s="44"/>
      <c r="P58" s="44"/>
      <c r="Q58" s="50"/>
      <c r="R58" s="50"/>
      <c r="S58" s="50"/>
      <c r="T58" s="55"/>
      <c r="U58" s="54"/>
      <c r="V58" s="219"/>
      <c r="W58" s="13"/>
      <c r="Z58" s="254"/>
      <c r="AA58" s="315"/>
      <c r="AB58" s="319"/>
      <c r="AD58"/>
    </row>
    <row r="59" spans="1:30" ht="39" customHeight="1" thickBot="1" x14ac:dyDescent="0.55000000000000004">
      <c r="A59" s="386"/>
      <c r="B59" s="368">
        <v>3360</v>
      </c>
      <c r="C59" s="60" t="s">
        <v>36</v>
      </c>
      <c r="D59" s="29"/>
      <c r="E59" s="30"/>
      <c r="F59" s="362" t="s">
        <v>59</v>
      </c>
      <c r="G59" s="362" t="s">
        <v>75</v>
      </c>
      <c r="H59" s="362" t="s">
        <v>26</v>
      </c>
      <c r="I59" s="362" t="s">
        <v>22</v>
      </c>
      <c r="J59" s="371" t="s">
        <v>81</v>
      </c>
      <c r="K59" s="205"/>
      <c r="L59" s="201" t="s">
        <v>71</v>
      </c>
      <c r="M59" s="31">
        <v>35</v>
      </c>
      <c r="N59" s="32">
        <v>36</v>
      </c>
      <c r="O59" s="32">
        <v>37</v>
      </c>
      <c r="P59" s="32">
        <v>38</v>
      </c>
      <c r="Q59" s="32">
        <v>39</v>
      </c>
      <c r="R59" s="32">
        <v>40</v>
      </c>
      <c r="S59" s="32"/>
      <c r="T59" s="56"/>
      <c r="U59" s="104"/>
      <c r="V59" s="217"/>
      <c r="W59" s="13"/>
      <c r="Z59" s="254"/>
      <c r="AA59" s="315"/>
      <c r="AB59" s="319"/>
      <c r="AD59"/>
    </row>
    <row r="60" spans="1:30" ht="39" customHeight="1" thickBot="1" x14ac:dyDescent="0.55000000000000004">
      <c r="A60" s="381"/>
      <c r="B60" s="369"/>
      <c r="C60" s="64" t="s">
        <v>43</v>
      </c>
      <c r="D60" s="41" t="s">
        <v>18</v>
      </c>
      <c r="E60" s="42" t="s">
        <v>50</v>
      </c>
      <c r="F60" s="363"/>
      <c r="G60" s="363"/>
      <c r="H60" s="363"/>
      <c r="I60" s="363"/>
      <c r="J60" s="372"/>
      <c r="K60" s="205"/>
      <c r="L60" s="202"/>
      <c r="M60" s="43">
        <v>1</v>
      </c>
      <c r="N60" s="44">
        <v>2</v>
      </c>
      <c r="O60" s="44">
        <v>4</v>
      </c>
      <c r="P60" s="44">
        <v>4</v>
      </c>
      <c r="Q60" s="44">
        <v>3</v>
      </c>
      <c r="R60" s="44">
        <v>1</v>
      </c>
      <c r="S60" s="44"/>
      <c r="T60" s="46"/>
      <c r="U60" s="105">
        <v>15</v>
      </c>
      <c r="V60" s="218">
        <v>13490</v>
      </c>
      <c r="W60" s="13"/>
      <c r="Z60" s="254"/>
      <c r="AA60" s="315"/>
      <c r="AB60" s="319"/>
      <c r="AD60"/>
    </row>
    <row r="61" spans="1:30" ht="39" customHeight="1" thickBot="1" x14ac:dyDescent="0.55000000000000004">
      <c r="A61" s="381"/>
      <c r="B61" s="370"/>
      <c r="C61" s="64" t="s">
        <v>27</v>
      </c>
      <c r="D61" s="41"/>
      <c r="E61" s="42"/>
      <c r="F61" s="363"/>
      <c r="G61" s="363"/>
      <c r="H61" s="363"/>
      <c r="I61" s="363"/>
      <c r="J61" s="372"/>
      <c r="K61" s="205"/>
      <c r="L61" s="108"/>
      <c r="M61" s="43"/>
      <c r="N61" s="44"/>
      <c r="O61" s="44"/>
      <c r="P61" s="44"/>
      <c r="Q61" s="44"/>
      <c r="R61" s="44"/>
      <c r="S61" s="44"/>
      <c r="T61" s="68"/>
      <c r="U61" s="105"/>
      <c r="V61" s="218"/>
      <c r="W61" s="13"/>
      <c r="Z61" s="254"/>
      <c r="AA61" s="315"/>
      <c r="AB61" s="319"/>
      <c r="AD61"/>
    </row>
    <row r="62" spans="1:30" ht="39" customHeight="1" thickBot="1" x14ac:dyDescent="0.55000000000000004">
      <c r="A62" s="382"/>
      <c r="B62" s="187" t="s">
        <v>85</v>
      </c>
      <c r="C62" s="78" t="s">
        <v>31</v>
      </c>
      <c r="D62" s="52"/>
      <c r="E62" s="53"/>
      <c r="F62" s="364"/>
      <c r="G62" s="364"/>
      <c r="H62" s="364"/>
      <c r="I62" s="364"/>
      <c r="J62" s="373"/>
      <c r="K62" s="205"/>
      <c r="L62" s="110"/>
      <c r="M62" s="49"/>
      <c r="N62" s="50"/>
      <c r="O62" s="50"/>
      <c r="P62" s="50"/>
      <c r="Q62" s="50"/>
      <c r="R62" s="50"/>
      <c r="S62" s="50"/>
      <c r="T62" s="55"/>
      <c r="U62" s="120"/>
      <c r="V62" s="219"/>
      <c r="W62" s="13"/>
      <c r="Z62" s="254"/>
      <c r="AA62" s="315"/>
      <c r="AB62" s="319"/>
      <c r="AD62"/>
    </row>
    <row r="63" spans="1:30" ht="39" customHeight="1" thickBot="1" x14ac:dyDescent="0.55000000000000004">
      <c r="A63" s="154"/>
      <c r="B63" s="368">
        <v>3364</v>
      </c>
      <c r="C63" s="60" t="s">
        <v>36</v>
      </c>
      <c r="D63" s="41" t="s">
        <v>18</v>
      </c>
      <c r="E63" s="42" t="s">
        <v>50</v>
      </c>
      <c r="F63" s="362" t="s">
        <v>59</v>
      </c>
      <c r="G63" s="362" t="s">
        <v>74</v>
      </c>
      <c r="H63" s="362" t="s">
        <v>26</v>
      </c>
      <c r="I63" s="362" t="s">
        <v>22</v>
      </c>
      <c r="J63" s="371" t="s">
        <v>81</v>
      </c>
      <c r="K63" s="205"/>
      <c r="L63" s="201" t="s">
        <v>71</v>
      </c>
      <c r="M63" s="31">
        <v>35</v>
      </c>
      <c r="N63" s="32">
        <v>36</v>
      </c>
      <c r="O63" s="32">
        <v>37</v>
      </c>
      <c r="P63" s="32">
        <v>38</v>
      </c>
      <c r="Q63" s="32">
        <v>39</v>
      </c>
      <c r="R63" s="32">
        <v>40</v>
      </c>
      <c r="S63" s="32"/>
      <c r="T63" s="56"/>
      <c r="U63" s="104"/>
      <c r="V63" s="217"/>
      <c r="W63" s="13"/>
      <c r="Z63" s="254"/>
      <c r="AA63" s="315"/>
      <c r="AB63" s="319"/>
      <c r="AD63"/>
    </row>
    <row r="64" spans="1:30" ht="39" customHeight="1" thickBot="1" x14ac:dyDescent="0.55000000000000004">
      <c r="A64" s="155"/>
      <c r="B64" s="369"/>
      <c r="C64" s="64" t="s">
        <v>43</v>
      </c>
      <c r="D64" s="41"/>
      <c r="E64" s="42"/>
      <c r="F64" s="363"/>
      <c r="G64" s="363"/>
      <c r="H64" s="363"/>
      <c r="I64" s="363"/>
      <c r="J64" s="372"/>
      <c r="K64" s="205"/>
      <c r="L64" s="202"/>
      <c r="M64" s="43">
        <v>1</v>
      </c>
      <c r="N64" s="44">
        <v>3</v>
      </c>
      <c r="O64" s="44">
        <v>4</v>
      </c>
      <c r="P64" s="44">
        <v>4</v>
      </c>
      <c r="Q64" s="44">
        <v>2</v>
      </c>
      <c r="R64" s="44">
        <v>1</v>
      </c>
      <c r="S64" s="44"/>
      <c r="T64" s="46"/>
      <c r="U64" s="105">
        <v>15</v>
      </c>
      <c r="V64" s="218">
        <v>12990</v>
      </c>
      <c r="W64" s="13"/>
      <c r="Z64" s="254"/>
      <c r="AA64" s="315"/>
      <c r="AB64" s="319"/>
      <c r="AD64"/>
    </row>
    <row r="65" spans="1:30" ht="39" customHeight="1" thickBot="1" x14ac:dyDescent="0.55000000000000004">
      <c r="A65" s="155"/>
      <c r="B65" s="370"/>
      <c r="C65" s="64" t="s">
        <v>36</v>
      </c>
      <c r="D65" s="41"/>
      <c r="E65" s="42"/>
      <c r="F65" s="363"/>
      <c r="G65" s="363"/>
      <c r="H65" s="363"/>
      <c r="I65" s="363"/>
      <c r="J65" s="372"/>
      <c r="K65" s="205"/>
      <c r="L65" s="108"/>
      <c r="M65" s="43"/>
      <c r="N65" s="44"/>
      <c r="O65" s="44"/>
      <c r="P65" s="44"/>
      <c r="Q65" s="44"/>
      <c r="R65" s="44"/>
      <c r="S65" s="44"/>
      <c r="T65" s="68"/>
      <c r="U65" s="105"/>
      <c r="V65" s="218"/>
      <c r="W65" s="13"/>
      <c r="Z65" s="254"/>
      <c r="AA65" s="315"/>
      <c r="AB65" s="319"/>
      <c r="AD65"/>
    </row>
    <row r="66" spans="1:30" ht="39" customHeight="1" thickBot="1" x14ac:dyDescent="0.55000000000000004">
      <c r="A66" s="156"/>
      <c r="B66" s="188" t="s">
        <v>78</v>
      </c>
      <c r="C66" s="78" t="s">
        <v>31</v>
      </c>
      <c r="D66" s="114"/>
      <c r="E66" s="70"/>
      <c r="F66" s="364"/>
      <c r="G66" s="364"/>
      <c r="H66" s="364"/>
      <c r="I66" s="364"/>
      <c r="J66" s="373"/>
      <c r="K66" s="205"/>
      <c r="L66" s="110"/>
      <c r="M66" s="49"/>
      <c r="N66" s="50"/>
      <c r="O66" s="50"/>
      <c r="P66" s="50"/>
      <c r="Q66" s="50"/>
      <c r="R66" s="50"/>
      <c r="S66" s="50"/>
      <c r="T66" s="55"/>
      <c r="U66" s="120"/>
      <c r="V66" s="219"/>
      <c r="W66" s="13"/>
      <c r="Z66" s="254"/>
      <c r="AA66" s="315"/>
      <c r="AB66" s="319"/>
      <c r="AD66"/>
    </row>
    <row r="67" spans="1:30" ht="39" customHeight="1" thickBot="1" x14ac:dyDescent="0.55000000000000004">
      <c r="A67" s="148"/>
      <c r="B67" s="368">
        <v>4458</v>
      </c>
      <c r="C67" s="60" t="s">
        <v>47</v>
      </c>
      <c r="D67" s="29" t="s">
        <v>18</v>
      </c>
      <c r="E67" s="30" t="s">
        <v>50</v>
      </c>
      <c r="F67" s="362" t="s">
        <v>37</v>
      </c>
      <c r="G67" s="362" t="s">
        <v>74</v>
      </c>
      <c r="H67" s="362" t="s">
        <v>51</v>
      </c>
      <c r="I67" s="362" t="s">
        <v>22</v>
      </c>
      <c r="J67" s="371" t="s">
        <v>81</v>
      </c>
      <c r="K67" s="205"/>
      <c r="L67" s="201" t="s">
        <v>71</v>
      </c>
      <c r="M67" s="32">
        <v>35</v>
      </c>
      <c r="N67" s="32">
        <v>36</v>
      </c>
      <c r="O67" s="32">
        <v>37</v>
      </c>
      <c r="P67" s="32">
        <v>38</v>
      </c>
      <c r="Q67" s="32">
        <v>39</v>
      </c>
      <c r="R67" s="56">
        <v>40</v>
      </c>
      <c r="S67" s="32"/>
      <c r="T67" s="56"/>
      <c r="U67" s="62"/>
      <c r="V67" s="217"/>
      <c r="W67" s="13"/>
      <c r="X67" s="268" t="s">
        <v>145</v>
      </c>
      <c r="Y67" s="268" t="s">
        <v>145</v>
      </c>
      <c r="Z67" s="268" t="s">
        <v>145</v>
      </c>
      <c r="AA67" s="315">
        <f>SUM(X67:Z67)</f>
        <v>0</v>
      </c>
      <c r="AB67" s="319"/>
      <c r="AC67" s="10"/>
      <c r="AD67"/>
    </row>
    <row r="68" spans="1:30" ht="39" customHeight="1" thickBot="1" x14ac:dyDescent="0.55000000000000004">
      <c r="A68" s="149"/>
      <c r="B68" s="369"/>
      <c r="C68" s="64" t="s">
        <v>109</v>
      </c>
      <c r="D68" s="41"/>
      <c r="E68" s="42"/>
      <c r="F68" s="363"/>
      <c r="G68" s="363"/>
      <c r="H68" s="363"/>
      <c r="I68" s="363"/>
      <c r="J68" s="372"/>
      <c r="K68" s="205"/>
      <c r="L68" s="108"/>
      <c r="M68" s="44">
        <v>1</v>
      </c>
      <c r="N68" s="44">
        <v>2</v>
      </c>
      <c r="O68" s="44">
        <v>3</v>
      </c>
      <c r="P68" s="44">
        <v>3</v>
      </c>
      <c r="Q68" s="44">
        <v>2</v>
      </c>
      <c r="R68" s="46">
        <v>1</v>
      </c>
      <c r="S68" s="44"/>
      <c r="T68" s="46"/>
      <c r="U68" s="66">
        <v>12</v>
      </c>
      <c r="V68" s="218">
        <v>19990</v>
      </c>
      <c r="W68" s="13"/>
      <c r="AA68" s="315"/>
      <c r="AB68" s="319"/>
      <c r="AC68" s="10"/>
      <c r="AD68"/>
    </row>
    <row r="69" spans="1:30" ht="39" customHeight="1" thickBot="1" x14ac:dyDescent="0.55000000000000004">
      <c r="A69" s="149"/>
      <c r="B69" s="370"/>
      <c r="C69" s="64" t="s">
        <v>36</v>
      </c>
      <c r="D69" s="41"/>
      <c r="E69" s="42"/>
      <c r="F69" s="363"/>
      <c r="G69" s="363"/>
      <c r="H69" s="363"/>
      <c r="I69" s="363"/>
      <c r="J69" s="372"/>
      <c r="K69" s="205"/>
      <c r="L69" s="108"/>
      <c r="M69" s="36"/>
      <c r="N69" s="67"/>
      <c r="O69" s="37"/>
      <c r="P69" s="37"/>
      <c r="Q69" s="37"/>
      <c r="R69" s="37"/>
      <c r="S69" s="37"/>
      <c r="T69" s="68"/>
      <c r="U69" s="66"/>
      <c r="V69" s="218"/>
      <c r="W69" s="13"/>
      <c r="AA69" s="315"/>
      <c r="AB69" s="319"/>
      <c r="AC69" s="10"/>
      <c r="AD69"/>
    </row>
    <row r="70" spans="1:30" ht="39" customHeight="1" thickBot="1" x14ac:dyDescent="0.55000000000000004">
      <c r="A70" s="150"/>
      <c r="B70" s="188" t="s">
        <v>85</v>
      </c>
      <c r="C70" s="78" t="s">
        <v>31</v>
      </c>
      <c r="D70" s="114"/>
      <c r="E70" s="70"/>
      <c r="F70" s="364"/>
      <c r="G70" s="364"/>
      <c r="H70" s="364"/>
      <c r="I70" s="364"/>
      <c r="J70" s="373"/>
      <c r="K70" s="205"/>
      <c r="L70" s="116"/>
      <c r="M70" s="49"/>
      <c r="N70" s="76"/>
      <c r="O70" s="50"/>
      <c r="P70" s="50"/>
      <c r="Q70" s="50"/>
      <c r="R70" s="50"/>
      <c r="S70" s="50"/>
      <c r="T70" s="55"/>
      <c r="U70" s="71"/>
      <c r="V70" s="219"/>
      <c r="W70" s="13"/>
      <c r="AA70" s="315"/>
      <c r="AB70" s="319"/>
      <c r="AC70" s="10"/>
      <c r="AD70"/>
    </row>
    <row r="71" spans="1:30" ht="39" customHeight="1" thickBot="1" x14ac:dyDescent="0.55000000000000004">
      <c r="A71" s="386"/>
      <c r="B71" s="368">
        <v>4473</v>
      </c>
      <c r="C71" s="60" t="s">
        <v>47</v>
      </c>
      <c r="D71" s="85" t="s">
        <v>18</v>
      </c>
      <c r="E71" s="30" t="s">
        <v>50</v>
      </c>
      <c r="F71" s="362" t="s">
        <v>37</v>
      </c>
      <c r="G71" s="362" t="s">
        <v>75</v>
      </c>
      <c r="H71" s="362" t="s">
        <v>51</v>
      </c>
      <c r="I71" s="362" t="s">
        <v>39</v>
      </c>
      <c r="J71" s="371" t="s">
        <v>80</v>
      </c>
      <c r="K71" s="205"/>
      <c r="L71" s="201" t="s">
        <v>71</v>
      </c>
      <c r="M71" s="31">
        <v>35</v>
      </c>
      <c r="N71" s="32">
        <v>36</v>
      </c>
      <c r="O71" s="32">
        <v>37</v>
      </c>
      <c r="P71" s="32">
        <v>38</v>
      </c>
      <c r="Q71" s="32">
        <v>39</v>
      </c>
      <c r="R71" s="32">
        <v>40</v>
      </c>
      <c r="S71" s="32"/>
      <c r="T71" s="56"/>
      <c r="U71" s="104"/>
      <c r="V71" s="217"/>
      <c r="W71" s="13"/>
      <c r="Y71" s="254">
        <v>15</v>
      </c>
      <c r="Z71" s="257">
        <v>15</v>
      </c>
      <c r="AA71" s="315">
        <f>SUM(X71:Z71)</f>
        <v>30</v>
      </c>
      <c r="AB71" s="320"/>
      <c r="AC71" s="9"/>
      <c r="AD71" s="10"/>
    </row>
    <row r="72" spans="1:30" ht="39" customHeight="1" thickBot="1" x14ac:dyDescent="0.55000000000000004">
      <c r="A72" s="381"/>
      <c r="B72" s="369"/>
      <c r="C72" s="64" t="s">
        <v>47</v>
      </c>
      <c r="D72" s="86"/>
      <c r="E72" s="42"/>
      <c r="F72" s="363"/>
      <c r="G72" s="363"/>
      <c r="H72" s="363"/>
      <c r="I72" s="363"/>
      <c r="J72" s="372"/>
      <c r="K72" s="205"/>
      <c r="L72" s="202"/>
      <c r="M72" s="43">
        <v>1</v>
      </c>
      <c r="N72" s="65">
        <v>2</v>
      </c>
      <c r="O72" s="44">
        <v>3</v>
      </c>
      <c r="P72" s="44">
        <v>3</v>
      </c>
      <c r="Q72" s="44">
        <v>2</v>
      </c>
      <c r="R72" s="44">
        <v>1</v>
      </c>
      <c r="S72" s="44"/>
      <c r="T72" s="46"/>
      <c r="U72" s="105">
        <v>12</v>
      </c>
      <c r="V72" s="218">
        <v>21990</v>
      </c>
      <c r="W72" s="13"/>
      <c r="AA72" s="315"/>
      <c r="AB72" s="320"/>
      <c r="AC72" s="9"/>
      <c r="AD72" s="10"/>
    </row>
    <row r="73" spans="1:30" ht="39" customHeight="1" thickBot="1" x14ac:dyDescent="0.55000000000000004">
      <c r="A73" s="381"/>
      <c r="B73" s="370"/>
      <c r="C73" s="64" t="s">
        <v>36</v>
      </c>
      <c r="D73" s="86"/>
      <c r="E73" s="42"/>
      <c r="F73" s="363"/>
      <c r="G73" s="363"/>
      <c r="H73" s="363"/>
      <c r="I73" s="363"/>
      <c r="J73" s="372"/>
      <c r="K73" s="205"/>
      <c r="L73" s="108"/>
      <c r="M73" s="36"/>
      <c r="N73" s="67"/>
      <c r="O73" s="37"/>
      <c r="P73" s="37"/>
      <c r="Q73" s="37"/>
      <c r="R73" s="37"/>
      <c r="S73" s="37"/>
      <c r="T73" s="68"/>
      <c r="U73" s="35"/>
      <c r="V73" s="218"/>
      <c r="W73" s="13"/>
      <c r="AA73" s="315"/>
      <c r="AB73" s="320"/>
      <c r="AC73" s="9"/>
      <c r="AD73" s="10"/>
    </row>
    <row r="74" spans="1:30" ht="39" customHeight="1" thickBot="1" x14ac:dyDescent="0.55000000000000004">
      <c r="A74" s="382"/>
      <c r="B74" s="188" t="s">
        <v>85</v>
      </c>
      <c r="C74" s="78" t="s">
        <v>36</v>
      </c>
      <c r="D74" s="128"/>
      <c r="E74" s="115" t="s">
        <v>41</v>
      </c>
      <c r="F74" s="364"/>
      <c r="G74" s="364"/>
      <c r="H74" s="364"/>
      <c r="I74" s="364"/>
      <c r="J74" s="373"/>
      <c r="K74" s="205"/>
      <c r="L74" s="110"/>
      <c r="M74" s="49"/>
      <c r="N74" s="76"/>
      <c r="O74" s="50"/>
      <c r="P74" s="50"/>
      <c r="Q74" s="50"/>
      <c r="R74" s="50"/>
      <c r="S74" s="50"/>
      <c r="T74" s="55"/>
      <c r="U74" s="54"/>
      <c r="V74" s="219"/>
      <c r="W74" s="13"/>
      <c r="AA74" s="315"/>
      <c r="AB74" s="320"/>
      <c r="AC74" s="9"/>
      <c r="AD74" s="10"/>
    </row>
    <row r="75" spans="1:30" ht="39" customHeight="1" thickBot="1" x14ac:dyDescent="0.55000000000000004">
      <c r="A75" s="148"/>
      <c r="B75" s="368">
        <v>4561</v>
      </c>
      <c r="C75" s="60" t="s">
        <v>42</v>
      </c>
      <c r="D75" s="41" t="s">
        <v>18</v>
      </c>
      <c r="E75" s="42" t="s">
        <v>50</v>
      </c>
      <c r="F75" s="362" t="s">
        <v>37</v>
      </c>
      <c r="G75" s="362" t="s">
        <v>75</v>
      </c>
      <c r="H75" s="362" t="s">
        <v>89</v>
      </c>
      <c r="I75" s="362" t="s">
        <v>39</v>
      </c>
      <c r="J75" s="371" t="s">
        <v>81</v>
      </c>
      <c r="K75" s="205"/>
      <c r="L75" s="201" t="s">
        <v>71</v>
      </c>
      <c r="M75" s="32">
        <v>35</v>
      </c>
      <c r="N75" s="32">
        <v>36</v>
      </c>
      <c r="O75" s="32">
        <v>37</v>
      </c>
      <c r="P75" s="32">
        <v>38</v>
      </c>
      <c r="Q75" s="32">
        <v>39</v>
      </c>
      <c r="R75" s="56">
        <v>40</v>
      </c>
      <c r="S75" s="32"/>
      <c r="T75" s="56"/>
      <c r="U75" s="62"/>
      <c r="V75" s="217"/>
      <c r="W75" s="13"/>
      <c r="X75" s="268" t="s">
        <v>145</v>
      </c>
      <c r="AA75" s="315">
        <f>SUM(X75:Z75)</f>
        <v>0</v>
      </c>
      <c r="AB75" s="319"/>
      <c r="AC75" s="10"/>
      <c r="AD75"/>
    </row>
    <row r="76" spans="1:30" ht="39" customHeight="1" thickBot="1" x14ac:dyDescent="0.55000000000000004">
      <c r="A76" s="93"/>
      <c r="B76" s="369"/>
      <c r="C76" s="64" t="s">
        <v>40</v>
      </c>
      <c r="D76" s="41"/>
      <c r="E76" s="42"/>
      <c r="F76" s="363"/>
      <c r="G76" s="363"/>
      <c r="H76" s="363"/>
      <c r="I76" s="363"/>
      <c r="J76" s="372"/>
      <c r="K76" s="205"/>
      <c r="L76" s="108"/>
      <c r="M76" s="44">
        <v>1</v>
      </c>
      <c r="N76" s="44">
        <v>2</v>
      </c>
      <c r="O76" s="44">
        <v>3</v>
      </c>
      <c r="P76" s="44">
        <v>3</v>
      </c>
      <c r="Q76" s="44">
        <v>2</v>
      </c>
      <c r="R76" s="46">
        <v>1</v>
      </c>
      <c r="S76" s="44"/>
      <c r="T76" s="46"/>
      <c r="U76" s="66">
        <v>12</v>
      </c>
      <c r="V76" s="218">
        <v>18990</v>
      </c>
      <c r="W76" s="13"/>
      <c r="AA76" s="315"/>
      <c r="AB76" s="319"/>
      <c r="AC76" s="10"/>
      <c r="AD76"/>
    </row>
    <row r="77" spans="1:30" ht="39" customHeight="1" thickBot="1" x14ac:dyDescent="0.55000000000000004">
      <c r="A77" s="149"/>
      <c r="B77" s="370"/>
      <c r="C77" s="64" t="s">
        <v>36</v>
      </c>
      <c r="D77" s="41"/>
      <c r="E77" s="42"/>
      <c r="F77" s="363"/>
      <c r="G77" s="363"/>
      <c r="H77" s="363"/>
      <c r="I77" s="363"/>
      <c r="J77" s="372"/>
      <c r="K77" s="205"/>
      <c r="L77" s="108"/>
      <c r="M77" s="36"/>
      <c r="N77" s="67"/>
      <c r="O77" s="37"/>
      <c r="P77" s="37"/>
      <c r="Q77" s="37"/>
      <c r="R77" s="37"/>
      <c r="S77" s="37"/>
      <c r="T77" s="68"/>
      <c r="U77" s="66"/>
      <c r="V77" s="218"/>
      <c r="W77" s="13"/>
      <c r="AA77" s="315"/>
      <c r="AB77" s="319"/>
      <c r="AC77" s="10"/>
      <c r="AD77"/>
    </row>
    <row r="78" spans="1:30" ht="39" customHeight="1" thickBot="1" x14ac:dyDescent="0.55000000000000004">
      <c r="A78" s="150"/>
      <c r="B78" s="188" t="s">
        <v>85</v>
      </c>
      <c r="C78" s="78" t="s">
        <v>31</v>
      </c>
      <c r="D78" s="114"/>
      <c r="E78" s="70"/>
      <c r="F78" s="364"/>
      <c r="G78" s="364"/>
      <c r="H78" s="364"/>
      <c r="I78" s="364"/>
      <c r="J78" s="373"/>
      <c r="K78" s="205"/>
      <c r="L78" s="116"/>
      <c r="M78" s="49"/>
      <c r="N78" s="76"/>
      <c r="O78" s="50"/>
      <c r="P78" s="50"/>
      <c r="Q78" s="50"/>
      <c r="R78" s="50"/>
      <c r="S78" s="50"/>
      <c r="T78" s="55"/>
      <c r="U78" s="71"/>
      <c r="V78" s="219"/>
      <c r="W78" s="13"/>
      <c r="AA78" s="315"/>
      <c r="AB78" s="319"/>
      <c r="AC78" s="10"/>
      <c r="AD78"/>
    </row>
    <row r="79" spans="1:30" ht="39" customHeight="1" thickBot="1" x14ac:dyDescent="0.55000000000000004">
      <c r="A79" s="148"/>
      <c r="B79" s="368">
        <v>4856</v>
      </c>
      <c r="C79" s="60" t="s">
        <v>47</v>
      </c>
      <c r="D79" s="29" t="s">
        <v>18</v>
      </c>
      <c r="E79" s="30" t="s">
        <v>50</v>
      </c>
      <c r="F79" s="362" t="s">
        <v>37</v>
      </c>
      <c r="G79" s="362" t="s">
        <v>75</v>
      </c>
      <c r="H79" s="362" t="s">
        <v>38</v>
      </c>
      <c r="I79" s="362" t="s">
        <v>39</v>
      </c>
      <c r="J79" s="371" t="s">
        <v>80</v>
      </c>
      <c r="K79" s="205"/>
      <c r="L79" s="201" t="s">
        <v>71</v>
      </c>
      <c r="M79" s="32">
        <v>35</v>
      </c>
      <c r="N79" s="32">
        <v>36</v>
      </c>
      <c r="O79" s="32">
        <v>37</v>
      </c>
      <c r="P79" s="32">
        <v>38</v>
      </c>
      <c r="Q79" s="32">
        <v>39</v>
      </c>
      <c r="R79" s="56">
        <v>40</v>
      </c>
      <c r="S79" s="32"/>
      <c r="T79" s="56"/>
      <c r="U79" s="62"/>
      <c r="V79" s="217"/>
      <c r="W79" s="13"/>
      <c r="AA79" s="315"/>
      <c r="AB79" s="319"/>
      <c r="AC79" s="10"/>
      <c r="AD79"/>
    </row>
    <row r="80" spans="1:30" ht="39" customHeight="1" thickBot="1" x14ac:dyDescent="0.55000000000000004">
      <c r="A80" s="93"/>
      <c r="B80" s="369"/>
      <c r="C80" s="64" t="s">
        <v>40</v>
      </c>
      <c r="D80" s="41" t="s">
        <v>52</v>
      </c>
      <c r="E80" s="42" t="s">
        <v>53</v>
      </c>
      <c r="F80" s="363"/>
      <c r="G80" s="363"/>
      <c r="H80" s="363"/>
      <c r="I80" s="363"/>
      <c r="J80" s="372"/>
      <c r="K80" s="205"/>
      <c r="L80" s="108"/>
      <c r="M80" s="44">
        <v>1</v>
      </c>
      <c r="N80" s="44">
        <v>3</v>
      </c>
      <c r="O80" s="44">
        <v>4</v>
      </c>
      <c r="P80" s="44">
        <v>4</v>
      </c>
      <c r="Q80" s="44">
        <v>2</v>
      </c>
      <c r="R80" s="46">
        <v>1</v>
      </c>
      <c r="S80" s="44"/>
      <c r="T80" s="46"/>
      <c r="U80" s="66">
        <v>15</v>
      </c>
      <c r="V80" s="218">
        <v>8490</v>
      </c>
      <c r="W80" s="13"/>
      <c r="AA80" s="315"/>
      <c r="AB80" s="319"/>
      <c r="AC80" s="10"/>
      <c r="AD80"/>
    </row>
    <row r="81" spans="1:30" ht="39" customHeight="1" thickBot="1" x14ac:dyDescent="0.55000000000000004">
      <c r="A81" s="149"/>
      <c r="B81" s="370"/>
      <c r="C81" s="64" t="s">
        <v>40</v>
      </c>
      <c r="D81" s="41"/>
      <c r="E81" s="42"/>
      <c r="F81" s="363"/>
      <c r="G81" s="363"/>
      <c r="H81" s="363"/>
      <c r="I81" s="363"/>
      <c r="J81" s="372"/>
      <c r="K81" s="205"/>
      <c r="L81" s="108"/>
      <c r="M81" s="36"/>
      <c r="N81" s="67"/>
      <c r="O81" s="37"/>
      <c r="P81" s="37"/>
      <c r="Q81" s="37"/>
      <c r="R81" s="37"/>
      <c r="S81" s="37"/>
      <c r="T81" s="68"/>
      <c r="U81" s="66"/>
      <c r="V81" s="218"/>
      <c r="W81" s="13"/>
      <c r="AA81" s="315"/>
      <c r="AB81" s="319"/>
      <c r="AC81" s="10"/>
      <c r="AD81"/>
    </row>
    <row r="82" spans="1:30" ht="39" customHeight="1" thickBot="1" x14ac:dyDescent="0.55000000000000004">
      <c r="A82" s="150"/>
      <c r="B82" s="188" t="s">
        <v>85</v>
      </c>
      <c r="C82" s="78" t="s">
        <v>65</v>
      </c>
      <c r="D82" s="114"/>
      <c r="E82" s="70"/>
      <c r="F82" s="364"/>
      <c r="G82" s="364"/>
      <c r="H82" s="364"/>
      <c r="I82" s="364"/>
      <c r="J82" s="373"/>
      <c r="K82" s="205"/>
      <c r="L82" s="116"/>
      <c r="M82" s="49"/>
      <c r="N82" s="76"/>
      <c r="O82" s="50"/>
      <c r="P82" s="50"/>
      <c r="Q82" s="50"/>
      <c r="R82" s="50"/>
      <c r="S82" s="50"/>
      <c r="T82" s="55"/>
      <c r="U82" s="71"/>
      <c r="V82" s="219"/>
      <c r="W82" s="13"/>
      <c r="AA82" s="315"/>
      <c r="AB82" s="319"/>
      <c r="AC82" s="10"/>
      <c r="AD82"/>
    </row>
    <row r="83" spans="1:30" ht="39" customHeight="1" thickBot="1" x14ac:dyDescent="0.55000000000000004">
      <c r="A83" s="80"/>
      <c r="B83" s="369">
        <v>4861</v>
      </c>
      <c r="C83" s="64" t="s">
        <v>44</v>
      </c>
      <c r="D83" s="51" t="s">
        <v>18</v>
      </c>
      <c r="E83" s="40" t="s">
        <v>50</v>
      </c>
      <c r="F83" s="363" t="s">
        <v>37</v>
      </c>
      <c r="G83" s="363" t="s">
        <v>75</v>
      </c>
      <c r="H83" s="363" t="s">
        <v>64</v>
      </c>
      <c r="I83" s="363" t="s">
        <v>39</v>
      </c>
      <c r="J83" s="372" t="s">
        <v>80</v>
      </c>
      <c r="K83" s="205"/>
      <c r="L83" s="202" t="s">
        <v>71</v>
      </c>
      <c r="M83" s="36">
        <v>35</v>
      </c>
      <c r="N83" s="67">
        <v>36</v>
      </c>
      <c r="O83" s="37">
        <v>37</v>
      </c>
      <c r="P83" s="37">
        <v>38</v>
      </c>
      <c r="Q83" s="37">
        <v>39</v>
      </c>
      <c r="R83" s="37">
        <v>40</v>
      </c>
      <c r="S83" s="37"/>
      <c r="T83" s="68"/>
      <c r="U83" s="35"/>
      <c r="V83" s="218"/>
      <c r="W83" s="13"/>
      <c r="Z83" s="254"/>
      <c r="AA83" s="315"/>
      <c r="AB83" s="319"/>
      <c r="AD83"/>
    </row>
    <row r="84" spans="1:30" ht="39" customHeight="1" thickBot="1" x14ac:dyDescent="0.55000000000000004">
      <c r="A84" s="80"/>
      <c r="B84" s="369"/>
      <c r="C84" s="64" t="s">
        <v>110</v>
      </c>
      <c r="D84" s="41"/>
      <c r="E84" s="42"/>
      <c r="F84" s="363"/>
      <c r="G84" s="363"/>
      <c r="H84" s="363"/>
      <c r="I84" s="363"/>
      <c r="J84" s="372"/>
      <c r="K84" s="205"/>
      <c r="L84" s="202"/>
      <c r="M84" s="43">
        <v>1</v>
      </c>
      <c r="N84" s="65">
        <v>2</v>
      </c>
      <c r="O84" s="44">
        <v>3</v>
      </c>
      <c r="P84" s="44">
        <v>3</v>
      </c>
      <c r="Q84" s="44">
        <v>2</v>
      </c>
      <c r="R84" s="44">
        <v>1</v>
      </c>
      <c r="S84" s="44"/>
      <c r="T84" s="46"/>
      <c r="U84" s="66">
        <v>12</v>
      </c>
      <c r="V84" s="218">
        <v>16990</v>
      </c>
      <c r="W84" s="13"/>
      <c r="Z84" s="254"/>
      <c r="AA84" s="315"/>
      <c r="AB84" s="319"/>
      <c r="AD84"/>
    </row>
    <row r="85" spans="1:30" ht="39" customHeight="1" thickBot="1" x14ac:dyDescent="0.55000000000000004">
      <c r="A85" s="80"/>
      <c r="B85" s="370"/>
      <c r="C85" s="64" t="s">
        <v>36</v>
      </c>
      <c r="D85" s="41"/>
      <c r="E85" s="42"/>
      <c r="F85" s="363"/>
      <c r="G85" s="363"/>
      <c r="H85" s="363"/>
      <c r="I85" s="363"/>
      <c r="J85" s="372"/>
      <c r="K85" s="205"/>
      <c r="L85" s="108"/>
      <c r="M85" s="36"/>
      <c r="N85" s="67"/>
      <c r="O85" s="37"/>
      <c r="P85" s="37"/>
      <c r="Q85" s="37"/>
      <c r="R85" s="37"/>
      <c r="S85" s="37"/>
      <c r="T85" s="68"/>
      <c r="U85" s="35"/>
      <c r="V85" s="218"/>
      <c r="W85" s="13"/>
      <c r="Z85" s="254"/>
      <c r="AA85" s="315"/>
      <c r="AB85" s="319"/>
      <c r="AD85"/>
    </row>
    <row r="86" spans="1:30" ht="39" customHeight="1" thickBot="1" x14ac:dyDescent="0.55000000000000004">
      <c r="A86" s="111"/>
      <c r="B86" s="188" t="s">
        <v>85</v>
      </c>
      <c r="C86" s="78" t="s">
        <v>31</v>
      </c>
      <c r="D86" s="79"/>
      <c r="E86" s="70"/>
      <c r="F86" s="364"/>
      <c r="G86" s="364"/>
      <c r="H86" s="364"/>
      <c r="I86" s="364"/>
      <c r="J86" s="373"/>
      <c r="K86" s="205"/>
      <c r="L86" s="110"/>
      <c r="M86" s="49"/>
      <c r="N86" s="76"/>
      <c r="O86" s="50"/>
      <c r="P86" s="50"/>
      <c r="Q86" s="50"/>
      <c r="R86" s="50"/>
      <c r="S86" s="50"/>
      <c r="T86" s="55"/>
      <c r="U86" s="54"/>
      <c r="V86" s="219"/>
      <c r="W86" s="13"/>
      <c r="Z86" s="254"/>
      <c r="AA86" s="315"/>
      <c r="AB86" s="319"/>
      <c r="AD86"/>
    </row>
    <row r="87" spans="1:30" ht="39" customHeight="1" thickBot="1" x14ac:dyDescent="0.55000000000000004">
      <c r="A87" s="77"/>
      <c r="B87" s="368">
        <v>4872</v>
      </c>
      <c r="C87" s="60" t="s">
        <v>44</v>
      </c>
      <c r="D87" s="29" t="s">
        <v>18</v>
      </c>
      <c r="E87" s="30" t="s">
        <v>50</v>
      </c>
      <c r="F87" s="362" t="s">
        <v>37</v>
      </c>
      <c r="G87" s="362" t="s">
        <v>75</v>
      </c>
      <c r="H87" s="362" t="s">
        <v>89</v>
      </c>
      <c r="I87" s="362" t="s">
        <v>22</v>
      </c>
      <c r="J87" s="371" t="s">
        <v>81</v>
      </c>
      <c r="K87" s="205"/>
      <c r="L87" s="201" t="s">
        <v>71</v>
      </c>
      <c r="M87" s="31">
        <v>35</v>
      </c>
      <c r="N87" s="61">
        <v>36</v>
      </c>
      <c r="O87" s="32">
        <v>37</v>
      </c>
      <c r="P87" s="32">
        <v>38</v>
      </c>
      <c r="Q87" s="32">
        <v>39</v>
      </c>
      <c r="R87" s="32">
        <v>40</v>
      </c>
      <c r="S87" s="32"/>
      <c r="T87" s="56"/>
      <c r="U87" s="62"/>
      <c r="V87" s="217"/>
      <c r="W87" s="13"/>
      <c r="X87" s="254" t="s">
        <v>149</v>
      </c>
      <c r="Z87" s="254"/>
      <c r="AA87" s="315">
        <f>SUM(X87:Z87)</f>
        <v>0</v>
      </c>
      <c r="AB87" s="319"/>
      <c r="AD87"/>
    </row>
    <row r="88" spans="1:30" ht="39" customHeight="1" thickBot="1" x14ac:dyDescent="0.55000000000000004">
      <c r="A88" s="80"/>
      <c r="B88" s="369"/>
      <c r="C88" s="64" t="s">
        <v>111</v>
      </c>
      <c r="D88" s="41" t="s">
        <v>19</v>
      </c>
      <c r="E88" s="42" t="s">
        <v>45</v>
      </c>
      <c r="F88" s="363"/>
      <c r="G88" s="363"/>
      <c r="H88" s="363"/>
      <c r="I88" s="363"/>
      <c r="J88" s="372"/>
      <c r="K88" s="205"/>
      <c r="L88" s="202"/>
      <c r="M88" s="43">
        <v>1</v>
      </c>
      <c r="N88" s="65">
        <v>2</v>
      </c>
      <c r="O88" s="44">
        <v>3</v>
      </c>
      <c r="P88" s="44">
        <v>3</v>
      </c>
      <c r="Q88" s="44">
        <v>2</v>
      </c>
      <c r="R88" s="44">
        <v>1</v>
      </c>
      <c r="S88" s="44"/>
      <c r="T88" s="46"/>
      <c r="U88" s="66">
        <v>12</v>
      </c>
      <c r="V88" s="218">
        <v>20990</v>
      </c>
      <c r="W88" s="13"/>
      <c r="Z88" s="254"/>
      <c r="AA88" s="315">
        <f>SUM(X88:Z88)</f>
        <v>0</v>
      </c>
      <c r="AB88" s="319"/>
      <c r="AD88"/>
    </row>
    <row r="89" spans="1:30" ht="39" customHeight="1" thickBot="1" x14ac:dyDescent="0.55000000000000004">
      <c r="A89" s="80"/>
      <c r="B89" s="370"/>
      <c r="C89" s="64" t="s">
        <v>36</v>
      </c>
      <c r="D89" s="41"/>
      <c r="E89" s="42"/>
      <c r="F89" s="363"/>
      <c r="G89" s="363"/>
      <c r="H89" s="363"/>
      <c r="I89" s="363"/>
      <c r="J89" s="372"/>
      <c r="K89" s="205"/>
      <c r="L89" s="108"/>
      <c r="M89" s="36"/>
      <c r="N89" s="67"/>
      <c r="O89" s="37"/>
      <c r="P89" s="37"/>
      <c r="Q89" s="37"/>
      <c r="R89" s="37"/>
      <c r="S89" s="37"/>
      <c r="T89" s="68"/>
      <c r="U89" s="35"/>
      <c r="V89" s="218"/>
      <c r="W89" s="13"/>
      <c r="Z89" s="254"/>
      <c r="AA89" s="315"/>
      <c r="AB89" s="319"/>
      <c r="AD89"/>
    </row>
    <row r="90" spans="1:30" ht="39" customHeight="1" thickBot="1" x14ac:dyDescent="0.55000000000000004">
      <c r="A90" s="111"/>
      <c r="B90" s="188" t="s">
        <v>85</v>
      </c>
      <c r="C90" s="78" t="s">
        <v>31</v>
      </c>
      <c r="D90" s="82"/>
      <c r="E90" s="91"/>
      <c r="F90" s="364"/>
      <c r="G90" s="364"/>
      <c r="H90" s="364"/>
      <c r="I90" s="364"/>
      <c r="J90" s="373"/>
      <c r="K90" s="205"/>
      <c r="L90" s="110"/>
      <c r="M90" s="49"/>
      <c r="N90" s="76"/>
      <c r="O90" s="50"/>
      <c r="P90" s="50"/>
      <c r="Q90" s="50"/>
      <c r="R90" s="50"/>
      <c r="S90" s="50"/>
      <c r="T90" s="55"/>
      <c r="U90" s="54"/>
      <c r="V90" s="219"/>
      <c r="W90" s="13"/>
      <c r="Z90" s="254"/>
      <c r="AA90" s="315"/>
      <c r="AB90" s="319"/>
      <c r="AD90"/>
    </row>
    <row r="91" spans="1:30" ht="39" customHeight="1" thickBot="1" x14ac:dyDescent="0.55000000000000004">
      <c r="A91" s="148"/>
      <c r="B91" s="368">
        <v>5871</v>
      </c>
      <c r="C91" s="60" t="s">
        <v>36</v>
      </c>
      <c r="D91" s="29" t="s">
        <v>18</v>
      </c>
      <c r="E91" s="30" t="s">
        <v>50</v>
      </c>
      <c r="F91" s="363" t="s">
        <v>59</v>
      </c>
      <c r="G91" s="363" t="s">
        <v>74</v>
      </c>
      <c r="H91" s="363" t="s">
        <v>66</v>
      </c>
      <c r="I91" s="363" t="s">
        <v>69</v>
      </c>
      <c r="J91" s="372" t="s">
        <v>95</v>
      </c>
      <c r="K91" s="205"/>
      <c r="L91" s="202" t="s">
        <v>71</v>
      </c>
      <c r="M91" s="36">
        <v>35</v>
      </c>
      <c r="N91" s="37">
        <v>36</v>
      </c>
      <c r="O91" s="37">
        <v>37</v>
      </c>
      <c r="P91" s="37">
        <v>38</v>
      </c>
      <c r="Q91" s="37">
        <v>39</v>
      </c>
      <c r="R91" s="37">
        <v>40</v>
      </c>
      <c r="S91" s="37"/>
      <c r="T91" s="68"/>
      <c r="U91" s="119"/>
      <c r="V91" s="217"/>
      <c r="W91" s="13"/>
      <c r="AA91" s="315"/>
      <c r="AB91" s="319"/>
      <c r="AC91" s="10"/>
      <c r="AD91"/>
    </row>
    <row r="92" spans="1:30" ht="39" customHeight="1" thickBot="1" x14ac:dyDescent="0.55000000000000004">
      <c r="A92" s="149"/>
      <c r="B92" s="369"/>
      <c r="C92" s="64" t="s">
        <v>43</v>
      </c>
      <c r="D92" s="41"/>
      <c r="E92" s="42"/>
      <c r="F92" s="363"/>
      <c r="G92" s="363"/>
      <c r="H92" s="363"/>
      <c r="I92" s="363"/>
      <c r="J92" s="372"/>
      <c r="K92" s="205"/>
      <c r="L92" s="108"/>
      <c r="M92" s="43">
        <v>1</v>
      </c>
      <c r="N92" s="44">
        <v>2</v>
      </c>
      <c r="O92" s="44">
        <v>4</v>
      </c>
      <c r="P92" s="44">
        <v>4</v>
      </c>
      <c r="Q92" s="44">
        <v>3</v>
      </c>
      <c r="R92" s="44">
        <v>1</v>
      </c>
      <c r="S92" s="44"/>
      <c r="T92" s="46"/>
      <c r="U92" s="105">
        <v>15</v>
      </c>
      <c r="V92" s="218">
        <v>18490</v>
      </c>
      <c r="W92" s="13"/>
      <c r="AA92" s="315"/>
      <c r="AB92" s="319"/>
      <c r="AC92" s="10"/>
      <c r="AD92"/>
    </row>
    <row r="93" spans="1:30" ht="39" customHeight="1" thickBot="1" x14ac:dyDescent="0.55000000000000004">
      <c r="A93" s="149"/>
      <c r="B93" s="370"/>
      <c r="C93" s="64" t="s">
        <v>43</v>
      </c>
      <c r="D93" s="41" t="s">
        <v>60</v>
      </c>
      <c r="E93" s="42" t="s">
        <v>61</v>
      </c>
      <c r="F93" s="363"/>
      <c r="G93" s="363"/>
      <c r="H93" s="363"/>
      <c r="I93" s="363"/>
      <c r="J93" s="372"/>
      <c r="K93" s="205"/>
      <c r="L93" s="108"/>
      <c r="M93" s="36"/>
      <c r="N93" s="67"/>
      <c r="O93" s="37"/>
      <c r="P93" s="37"/>
      <c r="Q93" s="37"/>
      <c r="R93" s="37"/>
      <c r="S93" s="37"/>
      <c r="T93" s="68"/>
      <c r="U93" s="35"/>
      <c r="V93" s="218"/>
      <c r="W93" s="13"/>
      <c r="AA93" s="315"/>
      <c r="AB93" s="319"/>
      <c r="AC93" s="10"/>
      <c r="AD93"/>
    </row>
    <row r="94" spans="1:30" ht="39" customHeight="1" thickBot="1" x14ac:dyDescent="0.55000000000000004">
      <c r="A94" s="150"/>
      <c r="B94" s="188" t="s">
        <v>85</v>
      </c>
      <c r="C94" s="64" t="s">
        <v>49</v>
      </c>
      <c r="D94" s="114"/>
      <c r="E94" s="129" t="s">
        <v>112</v>
      </c>
      <c r="F94" s="364"/>
      <c r="G94" s="364"/>
      <c r="H94" s="364"/>
      <c r="I94" s="364"/>
      <c r="J94" s="373"/>
      <c r="K94" s="205"/>
      <c r="L94" s="116"/>
      <c r="M94" s="49"/>
      <c r="N94" s="76"/>
      <c r="O94" s="50"/>
      <c r="P94" s="50"/>
      <c r="Q94" s="50"/>
      <c r="R94" s="50"/>
      <c r="S94" s="50"/>
      <c r="T94" s="55"/>
      <c r="U94" s="54"/>
      <c r="V94" s="219"/>
      <c r="W94" s="13"/>
      <c r="AA94" s="315"/>
      <c r="AB94" s="319"/>
      <c r="AC94" s="10"/>
      <c r="AD94"/>
    </row>
    <row r="95" spans="1:30" ht="39" customHeight="1" thickBot="1" x14ac:dyDescent="0.55000000000000004">
      <c r="A95" s="63"/>
      <c r="B95" s="368">
        <v>5878</v>
      </c>
      <c r="C95" s="60" t="s">
        <v>101</v>
      </c>
      <c r="D95" s="41"/>
      <c r="E95" s="42"/>
      <c r="F95" s="362" t="s">
        <v>59</v>
      </c>
      <c r="G95" s="362" t="s">
        <v>75</v>
      </c>
      <c r="H95" s="362" t="s">
        <v>66</v>
      </c>
      <c r="I95" s="362" t="s">
        <v>69</v>
      </c>
      <c r="J95" s="371" t="s">
        <v>95</v>
      </c>
      <c r="K95" s="205"/>
      <c r="L95" s="201" t="s">
        <v>71</v>
      </c>
      <c r="M95" s="32">
        <v>35</v>
      </c>
      <c r="N95" s="32">
        <v>36</v>
      </c>
      <c r="O95" s="32">
        <v>37</v>
      </c>
      <c r="P95" s="32">
        <v>38</v>
      </c>
      <c r="Q95" s="32">
        <v>39</v>
      </c>
      <c r="R95" s="56">
        <v>40</v>
      </c>
      <c r="S95" s="33"/>
      <c r="T95" s="83"/>
      <c r="U95" s="62"/>
      <c r="V95" s="217"/>
      <c r="W95" s="13"/>
      <c r="Z95" s="254"/>
      <c r="AA95" s="315"/>
      <c r="AB95" s="319"/>
      <c r="AD95"/>
    </row>
    <row r="96" spans="1:30" ht="39" customHeight="1" thickBot="1" x14ac:dyDescent="0.55000000000000004">
      <c r="A96" s="45"/>
      <c r="B96" s="369"/>
      <c r="C96" s="64" t="s">
        <v>43</v>
      </c>
      <c r="D96" s="41" t="s">
        <v>52</v>
      </c>
      <c r="E96" s="42" t="s">
        <v>53</v>
      </c>
      <c r="F96" s="363"/>
      <c r="G96" s="363"/>
      <c r="H96" s="363"/>
      <c r="I96" s="363"/>
      <c r="J96" s="372"/>
      <c r="K96" s="205"/>
      <c r="L96" s="202"/>
      <c r="M96" s="43">
        <v>1</v>
      </c>
      <c r="N96" s="44">
        <v>2</v>
      </c>
      <c r="O96" s="44">
        <v>4</v>
      </c>
      <c r="P96" s="44">
        <v>4</v>
      </c>
      <c r="Q96" s="44">
        <v>2</v>
      </c>
      <c r="R96" s="44">
        <v>2</v>
      </c>
      <c r="S96" s="44"/>
      <c r="T96" s="46"/>
      <c r="U96" s="66">
        <v>15</v>
      </c>
      <c r="V96" s="218">
        <v>19990</v>
      </c>
      <c r="W96" s="13"/>
      <c r="Z96" s="254"/>
      <c r="AA96" s="315"/>
      <c r="AB96" s="319"/>
      <c r="AD96"/>
    </row>
    <row r="97" spans="1:30" ht="39" customHeight="1" thickBot="1" x14ac:dyDescent="0.55000000000000004">
      <c r="A97" s="45"/>
      <c r="B97" s="370"/>
      <c r="C97" s="64" t="s">
        <v>43</v>
      </c>
      <c r="D97" s="41"/>
      <c r="E97" s="42"/>
      <c r="F97" s="363"/>
      <c r="G97" s="363"/>
      <c r="H97" s="363"/>
      <c r="I97" s="363"/>
      <c r="J97" s="372"/>
      <c r="K97" s="205"/>
      <c r="L97" s="108"/>
      <c r="M97" s="36"/>
      <c r="N97" s="37"/>
      <c r="O97" s="37"/>
      <c r="P97" s="37"/>
      <c r="Q97" s="44"/>
      <c r="R97" s="44"/>
      <c r="S97" s="44"/>
      <c r="T97" s="46"/>
      <c r="U97" s="66"/>
      <c r="V97" s="218"/>
      <c r="W97" s="13"/>
      <c r="Z97" s="254"/>
      <c r="AA97" s="315"/>
      <c r="AB97" s="319"/>
      <c r="AD97"/>
    </row>
    <row r="98" spans="1:30" ht="39" customHeight="1" thickBot="1" x14ac:dyDescent="0.55000000000000004">
      <c r="A98" s="59"/>
      <c r="B98" s="187" t="s">
        <v>72</v>
      </c>
      <c r="C98" s="78" t="s">
        <v>70</v>
      </c>
      <c r="D98" s="79"/>
      <c r="E98" s="70"/>
      <c r="F98" s="364"/>
      <c r="G98" s="364"/>
      <c r="H98" s="364"/>
      <c r="I98" s="364"/>
      <c r="J98" s="373"/>
      <c r="K98" s="205"/>
      <c r="L98" s="110"/>
      <c r="M98" s="49"/>
      <c r="N98" s="50"/>
      <c r="O98" s="50"/>
      <c r="P98" s="50"/>
      <c r="Q98" s="50"/>
      <c r="R98" s="50"/>
      <c r="S98" s="50"/>
      <c r="T98" s="55"/>
      <c r="U98" s="54"/>
      <c r="V98" s="219"/>
      <c r="W98" s="13"/>
      <c r="Z98" s="254"/>
      <c r="AA98" s="315"/>
      <c r="AB98" s="319"/>
      <c r="AD98"/>
    </row>
    <row r="99" spans="1:30" ht="39" customHeight="1" thickBot="1" x14ac:dyDescent="0.65">
      <c r="A99" s="171" t="s">
        <v>92</v>
      </c>
      <c r="B99" s="199"/>
      <c r="C99" s="98"/>
      <c r="D99" s="99"/>
      <c r="E99" s="97"/>
      <c r="F99" s="97"/>
      <c r="G99" s="97"/>
      <c r="H99" s="97"/>
      <c r="I99" s="97"/>
      <c r="J99" s="97"/>
      <c r="K99" s="214"/>
      <c r="L99" s="97"/>
      <c r="M99" s="99"/>
      <c r="N99" s="99"/>
      <c r="O99" s="99"/>
      <c r="P99" s="99"/>
      <c r="Q99" s="99"/>
      <c r="R99" s="99"/>
      <c r="S99" s="99"/>
      <c r="T99" s="99"/>
      <c r="U99" s="99"/>
      <c r="V99" s="97"/>
      <c r="W99" s="97"/>
      <c r="X99" s="243"/>
      <c r="Y99" s="243"/>
      <c r="Z99" s="243"/>
      <c r="AA99" s="315"/>
      <c r="AB99" s="320"/>
      <c r="AC99" s="9"/>
      <c r="AD99" s="10"/>
    </row>
    <row r="100" spans="1:30" ht="39" customHeight="1" thickBot="1" x14ac:dyDescent="0.55000000000000004">
      <c r="A100" s="386"/>
      <c r="B100" s="389" t="s">
        <v>116</v>
      </c>
      <c r="C100" s="60" t="s">
        <v>36</v>
      </c>
      <c r="D100" s="29" t="s">
        <v>18</v>
      </c>
      <c r="E100" s="30" t="s">
        <v>50</v>
      </c>
      <c r="F100" s="362" t="s">
        <v>59</v>
      </c>
      <c r="G100" s="362" t="s">
        <v>92</v>
      </c>
      <c r="H100" s="362" t="s">
        <v>26</v>
      </c>
      <c r="I100" s="362" t="s">
        <v>22</v>
      </c>
      <c r="J100" s="371" t="s">
        <v>48</v>
      </c>
      <c r="K100" s="205"/>
      <c r="L100" s="209" t="s">
        <v>117</v>
      </c>
      <c r="M100" s="31">
        <v>39</v>
      </c>
      <c r="N100" s="32">
        <v>40</v>
      </c>
      <c r="O100" s="32">
        <v>41</v>
      </c>
      <c r="P100" s="32">
        <v>42</v>
      </c>
      <c r="Q100" s="32">
        <v>43</v>
      </c>
      <c r="R100" s="32">
        <v>44</v>
      </c>
      <c r="S100" s="32">
        <v>45</v>
      </c>
      <c r="T100" s="30"/>
      <c r="U100" s="104"/>
      <c r="V100" s="217"/>
      <c r="W100" s="13"/>
      <c r="X100" s="268" t="s">
        <v>150</v>
      </c>
      <c r="Y100" s="268" t="s">
        <v>150</v>
      </c>
      <c r="Z100" s="268" t="s">
        <v>150</v>
      </c>
      <c r="AA100" s="315">
        <f>SUM(X100:Z100)</f>
        <v>0</v>
      </c>
      <c r="AB100" s="319"/>
      <c r="AD100"/>
    </row>
    <row r="101" spans="1:30" ht="39" customHeight="1" thickBot="1" x14ac:dyDescent="0.55000000000000004">
      <c r="A101" s="381"/>
      <c r="B101" s="387"/>
      <c r="C101" s="64" t="s">
        <v>36</v>
      </c>
      <c r="D101" s="41" t="s">
        <v>52</v>
      </c>
      <c r="E101" s="42" t="s">
        <v>53</v>
      </c>
      <c r="F101" s="363"/>
      <c r="G101" s="363"/>
      <c r="H101" s="363">
        <v>0</v>
      </c>
      <c r="I101" s="363"/>
      <c r="J101" s="372"/>
      <c r="K101" s="205"/>
      <c r="L101" s="206"/>
      <c r="M101" s="43">
        <v>2</v>
      </c>
      <c r="N101" s="44">
        <v>2</v>
      </c>
      <c r="O101" s="44">
        <v>3</v>
      </c>
      <c r="P101" s="44">
        <v>3</v>
      </c>
      <c r="Q101" s="44">
        <v>2</v>
      </c>
      <c r="R101" s="44">
        <v>2</v>
      </c>
      <c r="S101" s="44">
        <v>1</v>
      </c>
      <c r="T101" s="107"/>
      <c r="U101" s="105">
        <v>15</v>
      </c>
      <c r="V101" s="218">
        <v>11490</v>
      </c>
      <c r="W101" s="13"/>
      <c r="Y101" s="268" t="s">
        <v>150</v>
      </c>
      <c r="Z101" s="254"/>
      <c r="AA101" s="315">
        <f>SUM(X101:Z101)</f>
        <v>0</v>
      </c>
      <c r="AB101" s="319"/>
      <c r="AD101"/>
    </row>
    <row r="102" spans="1:30" ht="39" customHeight="1" thickBot="1" x14ac:dyDescent="0.55000000000000004">
      <c r="A102" s="381"/>
      <c r="B102" s="388"/>
      <c r="C102" s="64" t="s">
        <v>36</v>
      </c>
      <c r="D102" s="41"/>
      <c r="E102" s="42"/>
      <c r="F102" s="363"/>
      <c r="G102" s="363"/>
      <c r="H102" s="363">
        <v>0</v>
      </c>
      <c r="I102" s="363"/>
      <c r="J102" s="372"/>
      <c r="K102" s="205"/>
      <c r="L102" s="207"/>
      <c r="M102" s="47"/>
      <c r="N102" s="48"/>
      <c r="O102" s="48"/>
      <c r="P102" s="48"/>
      <c r="Q102" s="48"/>
      <c r="R102" s="48"/>
      <c r="S102" s="37"/>
      <c r="T102" s="40"/>
      <c r="U102" s="105"/>
      <c r="V102" s="218"/>
      <c r="W102" s="13"/>
      <c r="Z102" s="254"/>
      <c r="AA102" s="315"/>
      <c r="AB102" s="319"/>
      <c r="AD102"/>
    </row>
    <row r="103" spans="1:30" ht="39" customHeight="1" thickBot="1" x14ac:dyDescent="0.55000000000000004">
      <c r="A103" s="382"/>
      <c r="B103" s="189" t="s">
        <v>72</v>
      </c>
      <c r="C103" s="78" t="s">
        <v>65</v>
      </c>
      <c r="D103" s="52"/>
      <c r="E103" s="84"/>
      <c r="F103" s="363"/>
      <c r="G103" s="363"/>
      <c r="H103" s="363">
        <v>0</v>
      </c>
      <c r="I103" s="363"/>
      <c r="J103" s="372"/>
      <c r="K103" s="246"/>
      <c r="L103" s="247"/>
      <c r="M103" s="72"/>
      <c r="N103" s="248"/>
      <c r="O103" s="73"/>
      <c r="P103" s="73"/>
      <c r="Q103" s="73"/>
      <c r="R103" s="73"/>
      <c r="S103" s="73"/>
      <c r="T103" s="249"/>
      <c r="U103" s="106"/>
      <c r="V103" s="218"/>
      <c r="W103" s="13"/>
      <c r="X103" s="259"/>
      <c r="Y103" s="259"/>
      <c r="Z103" s="259"/>
      <c r="AA103" s="315"/>
      <c r="AB103" s="319"/>
      <c r="AD103"/>
    </row>
    <row r="104" spans="1:30" ht="39" customHeight="1" thickBot="1" x14ac:dyDescent="0.55000000000000004">
      <c r="A104" s="386"/>
      <c r="B104" s="389" t="s">
        <v>118</v>
      </c>
      <c r="C104" s="60" t="s">
        <v>36</v>
      </c>
      <c r="D104" s="244" t="s">
        <v>18</v>
      </c>
      <c r="E104" s="62" t="s">
        <v>50</v>
      </c>
      <c r="F104" s="362" t="s">
        <v>59</v>
      </c>
      <c r="G104" s="362" t="s">
        <v>92</v>
      </c>
      <c r="H104" s="362" t="s">
        <v>26</v>
      </c>
      <c r="I104" s="362" t="s">
        <v>22</v>
      </c>
      <c r="J104" s="371" t="s">
        <v>48</v>
      </c>
      <c r="K104" s="306" t="s">
        <v>141</v>
      </c>
      <c r="L104" s="297" t="s">
        <v>103</v>
      </c>
      <c r="M104" s="284">
        <v>28</v>
      </c>
      <c r="N104" s="284">
        <v>29</v>
      </c>
      <c r="O104" s="284">
        <v>30</v>
      </c>
      <c r="P104" s="284">
        <v>31</v>
      </c>
      <c r="Q104" s="284">
        <v>32</v>
      </c>
      <c r="R104" s="284">
        <v>33</v>
      </c>
      <c r="S104" s="284"/>
      <c r="T104" s="285"/>
      <c r="U104" s="286">
        <v>15</v>
      </c>
      <c r="V104" s="290">
        <v>10990</v>
      </c>
      <c r="W104" s="287"/>
      <c r="X104" s="288"/>
      <c r="Y104" s="288" t="s">
        <v>148</v>
      </c>
      <c r="Z104" s="288" t="s">
        <v>148</v>
      </c>
      <c r="AA104" s="315">
        <f>SUM(X104:Z104)</f>
        <v>0</v>
      </c>
      <c r="AB104" s="319"/>
      <c r="AD104"/>
    </row>
    <row r="105" spans="1:30" ht="39" customHeight="1" thickBot="1" x14ac:dyDescent="0.55000000000000004">
      <c r="A105" s="381"/>
      <c r="B105" s="387"/>
      <c r="C105" s="64" t="s">
        <v>43</v>
      </c>
      <c r="D105" s="245" t="s">
        <v>18</v>
      </c>
      <c r="E105" s="62" t="s">
        <v>50</v>
      </c>
      <c r="F105" s="363"/>
      <c r="G105" s="363"/>
      <c r="H105" s="363">
        <v>0</v>
      </c>
      <c r="I105" s="363"/>
      <c r="J105" s="372"/>
      <c r="K105" s="307" t="s">
        <v>142</v>
      </c>
      <c r="L105" s="298" t="s">
        <v>119</v>
      </c>
      <c r="M105" s="271">
        <v>2</v>
      </c>
      <c r="N105" s="271">
        <v>2</v>
      </c>
      <c r="O105" s="271">
        <v>2</v>
      </c>
      <c r="P105" s="271">
        <v>3</v>
      </c>
      <c r="Q105" s="271">
        <v>3</v>
      </c>
      <c r="R105" s="271">
        <v>3</v>
      </c>
      <c r="S105" s="271"/>
      <c r="T105" s="272"/>
      <c r="U105" s="273">
        <v>15</v>
      </c>
      <c r="V105" s="274">
        <v>11490</v>
      </c>
      <c r="W105" s="291"/>
      <c r="X105" s="268" t="s">
        <v>150</v>
      </c>
      <c r="Y105" s="268" t="s">
        <v>150</v>
      </c>
      <c r="Z105" s="268" t="s">
        <v>150</v>
      </c>
      <c r="AA105" s="315">
        <f>SUM(X105:Z105)</f>
        <v>0</v>
      </c>
      <c r="AB105" s="319"/>
      <c r="AD105"/>
    </row>
    <row r="106" spans="1:30" ht="39" customHeight="1" thickBot="1" x14ac:dyDescent="0.55000000000000004">
      <c r="A106" s="381"/>
      <c r="B106" s="387"/>
      <c r="C106" s="64" t="s">
        <v>36</v>
      </c>
      <c r="D106" s="245" t="s">
        <v>18</v>
      </c>
      <c r="E106" s="62" t="s">
        <v>50</v>
      </c>
      <c r="F106" s="363"/>
      <c r="G106" s="363"/>
      <c r="H106" s="363"/>
      <c r="I106" s="363"/>
      <c r="J106" s="372"/>
      <c r="K106" s="308" t="s">
        <v>143</v>
      </c>
      <c r="L106" s="299" t="s">
        <v>143</v>
      </c>
      <c r="M106" s="300">
        <v>34</v>
      </c>
      <c r="N106" s="301">
        <v>35</v>
      </c>
      <c r="O106" s="301">
        <v>36</v>
      </c>
      <c r="P106" s="301">
        <v>37</v>
      </c>
      <c r="Q106" s="301">
        <v>38</v>
      </c>
      <c r="R106" s="301"/>
      <c r="S106" s="302"/>
      <c r="T106" s="303"/>
      <c r="U106" s="280">
        <v>15</v>
      </c>
      <c r="V106" s="274">
        <v>12490</v>
      </c>
      <c r="W106" s="304"/>
      <c r="X106" s="282"/>
      <c r="Y106" s="282"/>
      <c r="Z106" s="268" t="s">
        <v>150</v>
      </c>
      <c r="AA106" s="315">
        <f>SUM(X106:Z106)</f>
        <v>0</v>
      </c>
      <c r="AB106" s="319"/>
      <c r="AD106"/>
    </row>
    <row r="107" spans="1:30" ht="39" customHeight="1" thickBot="1" x14ac:dyDescent="0.55000000000000004">
      <c r="A107" s="381"/>
      <c r="B107" s="387"/>
      <c r="C107" s="64" t="s">
        <v>65</v>
      </c>
      <c r="D107" s="245"/>
      <c r="E107" s="66"/>
      <c r="F107" s="363"/>
      <c r="G107" s="363"/>
      <c r="H107" s="363"/>
      <c r="I107" s="363"/>
      <c r="J107" s="390"/>
      <c r="K107" s="305"/>
      <c r="L107" s="210"/>
      <c r="M107" s="292">
        <v>3</v>
      </c>
      <c r="N107" s="293">
        <v>3</v>
      </c>
      <c r="O107" s="293">
        <v>3</v>
      </c>
      <c r="P107" s="293">
        <v>3</v>
      </c>
      <c r="Q107" s="293">
        <v>3</v>
      </c>
      <c r="R107" s="293"/>
      <c r="S107" s="293"/>
      <c r="T107" s="294"/>
      <c r="U107" s="295"/>
      <c r="V107" s="218"/>
      <c r="W107" s="13"/>
      <c r="X107" s="296"/>
      <c r="Y107" s="296"/>
      <c r="Z107" s="296"/>
      <c r="AA107" s="315"/>
      <c r="AB107" s="319"/>
      <c r="AD107"/>
    </row>
    <row r="108" spans="1:30" ht="39" customHeight="1" thickBot="1" x14ac:dyDescent="0.55000000000000004">
      <c r="A108" s="381"/>
      <c r="B108" s="387"/>
      <c r="C108" s="64"/>
      <c r="D108" s="244" t="s">
        <v>32</v>
      </c>
      <c r="E108" s="54" t="s">
        <v>28</v>
      </c>
      <c r="F108" s="363"/>
      <c r="G108" s="363"/>
      <c r="H108" s="363">
        <v>0</v>
      </c>
      <c r="I108" s="363"/>
      <c r="J108" s="372"/>
      <c r="K108" s="309" t="s">
        <v>141</v>
      </c>
      <c r="L108" s="283" t="s">
        <v>141</v>
      </c>
      <c r="M108" s="289">
        <v>39</v>
      </c>
      <c r="N108" s="284">
        <v>40</v>
      </c>
      <c r="O108" s="284">
        <v>41</v>
      </c>
      <c r="P108" s="284">
        <v>42</v>
      </c>
      <c r="Q108" s="284">
        <v>43</v>
      </c>
      <c r="R108" s="284">
        <v>44</v>
      </c>
      <c r="S108" s="284"/>
      <c r="T108" s="285"/>
      <c r="U108" s="286">
        <v>15</v>
      </c>
      <c r="V108" s="290">
        <v>10990</v>
      </c>
      <c r="W108" s="287"/>
      <c r="X108" s="288" t="s">
        <v>148</v>
      </c>
      <c r="Y108" s="288" t="s">
        <v>148</v>
      </c>
      <c r="Z108" s="288" t="s">
        <v>148</v>
      </c>
      <c r="AA108" s="315">
        <f>SUM(X108:Z108)</f>
        <v>0</v>
      </c>
      <c r="AB108" s="319"/>
      <c r="AD108"/>
    </row>
    <row r="109" spans="1:30" ht="39" customHeight="1" thickBot="1" x14ac:dyDescent="0.55000000000000004">
      <c r="A109" s="381"/>
      <c r="B109" s="388"/>
      <c r="C109" s="64"/>
      <c r="D109" s="245" t="s">
        <v>32</v>
      </c>
      <c r="E109" s="54" t="s">
        <v>28</v>
      </c>
      <c r="F109" s="363"/>
      <c r="G109" s="363"/>
      <c r="H109" s="363"/>
      <c r="I109" s="363"/>
      <c r="J109" s="372"/>
      <c r="K109" s="310" t="s">
        <v>142</v>
      </c>
      <c r="L109" s="269" t="s">
        <v>142</v>
      </c>
      <c r="M109" s="270">
        <v>1</v>
      </c>
      <c r="N109" s="271">
        <v>3</v>
      </c>
      <c r="O109" s="271">
        <v>4</v>
      </c>
      <c r="P109" s="271">
        <v>4</v>
      </c>
      <c r="Q109" s="271">
        <v>2</v>
      </c>
      <c r="R109" s="271">
        <v>1</v>
      </c>
      <c r="S109" s="271"/>
      <c r="T109" s="272"/>
      <c r="U109" s="273">
        <v>15</v>
      </c>
      <c r="V109" s="274">
        <v>11490</v>
      </c>
      <c r="W109" s="291"/>
      <c r="X109" s="268"/>
      <c r="Y109" s="268"/>
      <c r="Z109" s="288" t="s">
        <v>148</v>
      </c>
      <c r="AA109" s="315">
        <f>SUM(X109:Z109)</f>
        <v>0</v>
      </c>
      <c r="AB109" s="319"/>
      <c r="AD109"/>
    </row>
    <row r="110" spans="1:30" ht="39" customHeight="1" thickBot="1" x14ac:dyDescent="0.55000000000000004">
      <c r="A110" s="382"/>
      <c r="B110" s="189" t="s">
        <v>72</v>
      </c>
      <c r="C110" s="78"/>
      <c r="D110" s="245" t="s">
        <v>32</v>
      </c>
      <c r="E110" s="54" t="s">
        <v>28</v>
      </c>
      <c r="F110" s="364"/>
      <c r="G110" s="364"/>
      <c r="H110" s="364">
        <v>0</v>
      </c>
      <c r="I110" s="364"/>
      <c r="J110" s="373"/>
      <c r="K110" s="311" t="s">
        <v>143</v>
      </c>
      <c r="L110" s="275" t="s">
        <v>143</v>
      </c>
      <c r="M110" s="276"/>
      <c r="N110" s="277"/>
      <c r="O110" s="278"/>
      <c r="P110" s="278"/>
      <c r="Q110" s="278"/>
      <c r="R110" s="278"/>
      <c r="S110" s="278"/>
      <c r="T110" s="279"/>
      <c r="U110" s="280">
        <v>15</v>
      </c>
      <c r="V110" s="274">
        <v>12490</v>
      </c>
      <c r="W110" s="281"/>
      <c r="X110" s="268" t="s">
        <v>150</v>
      </c>
      <c r="Y110" s="268" t="s">
        <v>150</v>
      </c>
      <c r="Z110" s="268" t="s">
        <v>150</v>
      </c>
      <c r="AA110" s="315">
        <f>SUM(X110:Z110)</f>
        <v>0</v>
      </c>
      <c r="AB110" s="319"/>
      <c r="AD110"/>
    </row>
    <row r="111" spans="1:30" ht="39" customHeight="1" thickBot="1" x14ac:dyDescent="0.55000000000000004">
      <c r="A111" s="386"/>
      <c r="B111" s="389" t="s">
        <v>120</v>
      </c>
      <c r="C111" s="60" t="s">
        <v>36</v>
      </c>
      <c r="D111" s="29" t="s">
        <v>18</v>
      </c>
      <c r="E111" s="40" t="s">
        <v>50</v>
      </c>
      <c r="F111" s="363" t="s">
        <v>59</v>
      </c>
      <c r="G111" s="363" t="s">
        <v>92</v>
      </c>
      <c r="H111" s="363" t="s">
        <v>26</v>
      </c>
      <c r="I111" s="363" t="s">
        <v>22</v>
      </c>
      <c r="J111" s="372" t="s">
        <v>48</v>
      </c>
      <c r="K111" s="250"/>
      <c r="L111" s="207" t="s">
        <v>77</v>
      </c>
      <c r="M111" s="36">
        <v>39</v>
      </c>
      <c r="N111" s="37">
        <v>40</v>
      </c>
      <c r="O111" s="37">
        <v>41</v>
      </c>
      <c r="P111" s="37">
        <v>42</v>
      </c>
      <c r="Q111" s="37">
        <v>43</v>
      </c>
      <c r="R111" s="37">
        <v>44</v>
      </c>
      <c r="S111" s="57"/>
      <c r="T111" s="58"/>
      <c r="U111" s="119"/>
      <c r="V111" s="218"/>
      <c r="W111" s="13"/>
      <c r="X111" s="288" t="s">
        <v>148</v>
      </c>
      <c r="Y111" s="288" t="s">
        <v>148</v>
      </c>
      <c r="Z111" s="260"/>
      <c r="AA111" s="315">
        <f>SUM(X111:Z111)</f>
        <v>0</v>
      </c>
      <c r="AB111" s="319"/>
      <c r="AD111"/>
    </row>
    <row r="112" spans="1:30" ht="39" customHeight="1" thickBot="1" x14ac:dyDescent="0.55000000000000004">
      <c r="A112" s="381"/>
      <c r="B112" s="387"/>
      <c r="C112" s="64" t="s">
        <v>36</v>
      </c>
      <c r="D112" s="41" t="s">
        <v>19</v>
      </c>
      <c r="E112" s="42" t="s">
        <v>45</v>
      </c>
      <c r="F112" s="363"/>
      <c r="G112" s="363"/>
      <c r="H112" s="363">
        <v>0</v>
      </c>
      <c r="I112" s="363"/>
      <c r="J112" s="372"/>
      <c r="K112" s="205"/>
      <c r="L112" s="207"/>
      <c r="M112" s="43">
        <v>1</v>
      </c>
      <c r="N112" s="44">
        <v>3</v>
      </c>
      <c r="O112" s="44">
        <v>3</v>
      </c>
      <c r="P112" s="44">
        <v>4</v>
      </c>
      <c r="Q112" s="44">
        <v>2</v>
      </c>
      <c r="R112" s="44">
        <v>2</v>
      </c>
      <c r="S112" s="121"/>
      <c r="T112" s="122"/>
      <c r="U112" s="105">
        <v>15</v>
      </c>
      <c r="V112" s="218">
        <v>11490</v>
      </c>
      <c r="W112" s="13"/>
      <c r="Y112" s="288" t="s">
        <v>148</v>
      </c>
      <c r="Z112" s="254"/>
      <c r="AA112" s="315">
        <f>SUM(X112:Z112)</f>
        <v>0</v>
      </c>
      <c r="AB112" s="319"/>
      <c r="AD112"/>
    </row>
    <row r="113" spans="1:31" ht="39" customHeight="1" thickBot="1" x14ac:dyDescent="0.55000000000000004">
      <c r="A113" s="381"/>
      <c r="B113" s="388"/>
      <c r="C113" s="64" t="s">
        <v>36</v>
      </c>
      <c r="D113" s="41"/>
      <c r="E113" s="42"/>
      <c r="F113" s="363"/>
      <c r="G113" s="363"/>
      <c r="H113" s="363">
        <v>0</v>
      </c>
      <c r="I113" s="363"/>
      <c r="J113" s="372"/>
      <c r="K113" s="205"/>
      <c r="L113" s="207"/>
      <c r="M113" s="47"/>
      <c r="N113" s="48"/>
      <c r="O113" s="48"/>
      <c r="P113" s="48"/>
      <c r="Q113" s="48"/>
      <c r="R113" s="48"/>
      <c r="S113" s="57"/>
      <c r="T113" s="58"/>
      <c r="U113" s="105"/>
      <c r="V113" s="218"/>
      <c r="W113" s="13"/>
      <c r="Z113" s="254"/>
      <c r="AA113" s="315"/>
      <c r="AB113" s="319"/>
      <c r="AD113"/>
    </row>
    <row r="114" spans="1:31" ht="39" customHeight="1" thickBot="1" x14ac:dyDescent="0.55000000000000004">
      <c r="A114" s="382"/>
      <c r="B114" s="190" t="s">
        <v>104</v>
      </c>
      <c r="C114" s="64" t="s">
        <v>65</v>
      </c>
      <c r="D114" s="117"/>
      <c r="E114" s="84"/>
      <c r="F114" s="363"/>
      <c r="G114" s="363"/>
      <c r="H114" s="363">
        <v>0</v>
      </c>
      <c r="I114" s="363"/>
      <c r="J114" s="372"/>
      <c r="K114" s="205"/>
      <c r="L114" s="211"/>
      <c r="M114" s="131"/>
      <c r="N114" s="132"/>
      <c r="O114" s="133"/>
      <c r="P114" s="133"/>
      <c r="Q114" s="133"/>
      <c r="R114" s="133"/>
      <c r="S114" s="133"/>
      <c r="T114" s="134"/>
      <c r="U114" s="106"/>
      <c r="V114" s="219"/>
      <c r="W114" s="13"/>
      <c r="Z114" s="254"/>
      <c r="AA114" s="315"/>
      <c r="AB114" s="319"/>
      <c r="AD114"/>
    </row>
    <row r="115" spans="1:31" ht="39" customHeight="1" thickBot="1" x14ac:dyDescent="0.55000000000000004">
      <c r="A115" s="77"/>
      <c r="B115" s="368">
        <v>9751</v>
      </c>
      <c r="C115" s="60" t="s">
        <v>36</v>
      </c>
      <c r="D115" s="29" t="s">
        <v>19</v>
      </c>
      <c r="E115" s="30" t="s">
        <v>45</v>
      </c>
      <c r="F115" s="362" t="s">
        <v>59</v>
      </c>
      <c r="G115" s="362" t="s">
        <v>92</v>
      </c>
      <c r="H115" s="362" t="s">
        <v>64</v>
      </c>
      <c r="I115" s="362" t="s">
        <v>39</v>
      </c>
      <c r="J115" s="371" t="s">
        <v>48</v>
      </c>
      <c r="K115" s="205"/>
      <c r="L115" s="202" t="s">
        <v>99</v>
      </c>
      <c r="M115" s="36">
        <v>40</v>
      </c>
      <c r="N115" s="37">
        <v>41</v>
      </c>
      <c r="O115" s="37">
        <v>42</v>
      </c>
      <c r="P115" s="37">
        <v>43</v>
      </c>
      <c r="Q115" s="37">
        <v>44</v>
      </c>
      <c r="R115" s="37">
        <v>45</v>
      </c>
      <c r="S115" s="32"/>
      <c r="T115" s="137"/>
      <c r="U115" s="100"/>
      <c r="V115" s="217"/>
      <c r="W115" s="13"/>
      <c r="Z115" s="254"/>
      <c r="AA115" s="315"/>
      <c r="AB115" s="320"/>
      <c r="AC115" s="9"/>
      <c r="AD115" s="10"/>
      <c r="AE115" s="8"/>
    </row>
    <row r="116" spans="1:31" ht="39" customHeight="1" thickBot="1" x14ac:dyDescent="0.55000000000000004">
      <c r="A116" s="80"/>
      <c r="B116" s="369"/>
      <c r="C116" s="64" t="s">
        <v>43</v>
      </c>
      <c r="D116" s="41"/>
      <c r="E116" s="42"/>
      <c r="F116" s="363"/>
      <c r="G116" s="363"/>
      <c r="H116" s="363"/>
      <c r="I116" s="363"/>
      <c r="J116" s="372"/>
      <c r="K116" s="205"/>
      <c r="L116" s="202"/>
      <c r="M116" s="43">
        <v>2</v>
      </c>
      <c r="N116" s="44">
        <v>4</v>
      </c>
      <c r="O116" s="44">
        <v>4</v>
      </c>
      <c r="P116" s="44">
        <v>2</v>
      </c>
      <c r="Q116" s="44">
        <v>2</v>
      </c>
      <c r="R116" s="44">
        <v>1</v>
      </c>
      <c r="S116" s="44"/>
      <c r="T116" s="138"/>
      <c r="U116" s="66">
        <v>15</v>
      </c>
      <c r="V116" s="220">
        <v>16990</v>
      </c>
      <c r="W116" s="227"/>
      <c r="Z116" s="254"/>
      <c r="AA116" s="315">
        <f>SUM(X116:Z116)</f>
        <v>0</v>
      </c>
      <c r="AB116" s="320"/>
      <c r="AC116" s="9"/>
      <c r="AD116" s="10"/>
      <c r="AE116" s="8"/>
    </row>
    <row r="117" spans="1:31" ht="39" customHeight="1" thickBot="1" x14ac:dyDescent="0.55000000000000004">
      <c r="A117" s="80"/>
      <c r="B117" s="370"/>
      <c r="C117" s="64" t="s">
        <v>43</v>
      </c>
      <c r="D117" s="41"/>
      <c r="E117" s="42"/>
      <c r="F117" s="363"/>
      <c r="G117" s="363"/>
      <c r="H117" s="363"/>
      <c r="I117" s="363"/>
      <c r="J117" s="372"/>
      <c r="K117" s="205"/>
      <c r="L117" s="108"/>
      <c r="M117" s="36"/>
      <c r="N117" s="37"/>
      <c r="O117" s="37"/>
      <c r="P117" s="37"/>
      <c r="Q117" s="37"/>
      <c r="R117" s="37"/>
      <c r="S117" s="38"/>
      <c r="T117" s="39"/>
      <c r="U117" s="35"/>
      <c r="V117" s="218"/>
      <c r="W117" s="13"/>
      <c r="Z117" s="254"/>
      <c r="AA117" s="315"/>
      <c r="AB117" s="320"/>
      <c r="AC117" s="9"/>
      <c r="AD117" s="10"/>
      <c r="AE117" s="8"/>
    </row>
    <row r="118" spans="1:31" ht="39" customHeight="1" thickBot="1" x14ac:dyDescent="0.55000000000000004">
      <c r="A118" s="111"/>
      <c r="B118" s="191" t="s">
        <v>72</v>
      </c>
      <c r="C118" s="78" t="s">
        <v>31</v>
      </c>
      <c r="D118" s="79"/>
      <c r="E118" s="70"/>
      <c r="F118" s="364"/>
      <c r="G118" s="364"/>
      <c r="H118" s="364"/>
      <c r="I118" s="364"/>
      <c r="J118" s="373"/>
      <c r="K118" s="205"/>
      <c r="L118" s="110"/>
      <c r="M118" s="49"/>
      <c r="N118" s="50"/>
      <c r="O118" s="50"/>
      <c r="P118" s="50"/>
      <c r="Q118" s="50"/>
      <c r="R118" s="50"/>
      <c r="S118" s="50"/>
      <c r="T118" s="55"/>
      <c r="U118" s="54"/>
      <c r="V118" s="221"/>
      <c r="W118" s="227"/>
      <c r="Z118" s="254"/>
      <c r="AA118" s="315"/>
      <c r="AB118" s="320"/>
      <c r="AC118" s="9"/>
      <c r="AD118" s="10"/>
      <c r="AE118" s="8"/>
    </row>
    <row r="119" spans="1:31" ht="39" customHeight="1" thickBot="1" x14ac:dyDescent="0.55000000000000004">
      <c r="A119" s="77"/>
      <c r="B119" s="368">
        <v>9754</v>
      </c>
      <c r="C119" s="60" t="s">
        <v>27</v>
      </c>
      <c r="D119" s="29"/>
      <c r="E119" s="30"/>
      <c r="F119" s="362" t="s">
        <v>37</v>
      </c>
      <c r="G119" s="362" t="s">
        <v>92</v>
      </c>
      <c r="H119" s="362" t="s">
        <v>64</v>
      </c>
      <c r="I119" s="362" t="s">
        <v>39</v>
      </c>
      <c r="J119" s="371" t="s">
        <v>48</v>
      </c>
      <c r="K119" s="205"/>
      <c r="L119" s="201" t="s">
        <v>77</v>
      </c>
      <c r="M119" s="31">
        <v>39</v>
      </c>
      <c r="N119" s="32">
        <v>40</v>
      </c>
      <c r="O119" s="32">
        <v>41</v>
      </c>
      <c r="P119" s="32">
        <v>42</v>
      </c>
      <c r="Q119" s="32">
        <v>43</v>
      </c>
      <c r="R119" s="32">
        <v>44</v>
      </c>
      <c r="S119" s="33"/>
      <c r="T119" s="83"/>
      <c r="U119" s="62"/>
      <c r="V119" s="217"/>
      <c r="W119" s="13"/>
      <c r="Z119" s="254"/>
      <c r="AA119" s="315"/>
      <c r="AB119" s="319"/>
      <c r="AD119"/>
    </row>
    <row r="120" spans="1:31" ht="39" customHeight="1" thickBot="1" x14ac:dyDescent="0.55000000000000004">
      <c r="A120" s="80"/>
      <c r="B120" s="369"/>
      <c r="C120" s="64" t="s">
        <v>43</v>
      </c>
      <c r="D120" s="41"/>
      <c r="E120" s="42"/>
      <c r="F120" s="363"/>
      <c r="G120" s="363"/>
      <c r="H120" s="363"/>
      <c r="I120" s="363"/>
      <c r="J120" s="372"/>
      <c r="K120" s="205"/>
      <c r="L120" s="202"/>
      <c r="M120" s="43">
        <v>1</v>
      </c>
      <c r="N120" s="44">
        <v>3</v>
      </c>
      <c r="O120" s="44">
        <v>4</v>
      </c>
      <c r="P120" s="44">
        <v>4</v>
      </c>
      <c r="Q120" s="44">
        <v>2</v>
      </c>
      <c r="R120" s="44">
        <v>1</v>
      </c>
      <c r="S120" s="44"/>
      <c r="T120" s="46"/>
      <c r="U120" s="66">
        <v>15</v>
      </c>
      <c r="V120" s="220">
        <v>25990</v>
      </c>
      <c r="W120" s="227"/>
      <c r="Z120" s="254"/>
      <c r="AA120" s="315"/>
      <c r="AB120" s="319"/>
      <c r="AD120"/>
    </row>
    <row r="121" spans="1:31" ht="39" customHeight="1" thickBot="1" x14ac:dyDescent="0.55000000000000004">
      <c r="A121" s="80"/>
      <c r="B121" s="370"/>
      <c r="C121" s="64" t="s">
        <v>27</v>
      </c>
      <c r="D121" s="41" t="s">
        <v>98</v>
      </c>
      <c r="E121" s="42" t="s">
        <v>0</v>
      </c>
      <c r="F121" s="363"/>
      <c r="G121" s="363"/>
      <c r="H121" s="363"/>
      <c r="I121" s="363"/>
      <c r="J121" s="372"/>
      <c r="K121" s="205"/>
      <c r="L121" s="108"/>
      <c r="M121" s="36"/>
      <c r="N121" s="37"/>
      <c r="O121" s="37"/>
      <c r="P121" s="37"/>
      <c r="Q121" s="37"/>
      <c r="R121" s="37"/>
      <c r="S121" s="44"/>
      <c r="T121" s="46"/>
      <c r="U121" s="66"/>
      <c r="V121" s="218"/>
      <c r="W121" s="13"/>
      <c r="X121" s="268" t="s">
        <v>152</v>
      </c>
      <c r="Z121" s="254"/>
      <c r="AA121" s="315">
        <f>SUM(X121:Z121)</f>
        <v>0</v>
      </c>
      <c r="AB121" s="319"/>
      <c r="AD121"/>
    </row>
    <row r="122" spans="1:31" ht="39" customHeight="1" thickBot="1" x14ac:dyDescent="0.55000000000000004">
      <c r="A122" s="111"/>
      <c r="B122" s="192" t="s">
        <v>94</v>
      </c>
      <c r="C122" s="78" t="s">
        <v>86</v>
      </c>
      <c r="D122" s="82"/>
      <c r="E122" s="91"/>
      <c r="F122" s="363"/>
      <c r="G122" s="363"/>
      <c r="H122" s="363"/>
      <c r="I122" s="363"/>
      <c r="J122" s="372"/>
      <c r="K122" s="246"/>
      <c r="L122" s="212"/>
      <c r="M122" s="72"/>
      <c r="N122" s="73"/>
      <c r="O122" s="73"/>
      <c r="P122" s="73"/>
      <c r="Q122" s="73"/>
      <c r="R122" s="73"/>
      <c r="S122" s="73"/>
      <c r="T122" s="74"/>
      <c r="U122" s="75"/>
      <c r="V122" s="218"/>
      <c r="W122" s="13"/>
      <c r="X122" s="259"/>
      <c r="Y122" s="259"/>
      <c r="Z122" s="259"/>
      <c r="AA122" s="315"/>
      <c r="AB122" s="319"/>
      <c r="AD122"/>
    </row>
    <row r="123" spans="1:31" ht="39" customHeight="1" thickBot="1" x14ac:dyDescent="0.55000000000000004">
      <c r="A123" s="63"/>
      <c r="B123" s="368">
        <v>9872</v>
      </c>
      <c r="C123" s="60" t="s">
        <v>36</v>
      </c>
      <c r="D123" s="29" t="s">
        <v>23</v>
      </c>
      <c r="E123" s="30" t="s">
        <v>113</v>
      </c>
      <c r="F123" s="362" t="s">
        <v>59</v>
      </c>
      <c r="G123" s="362" t="s">
        <v>92</v>
      </c>
      <c r="H123" s="362" t="s">
        <v>66</v>
      </c>
      <c r="I123" s="362" t="s">
        <v>90</v>
      </c>
      <c r="J123" s="371" t="s">
        <v>128</v>
      </c>
      <c r="K123" s="251"/>
      <c r="L123" s="201" t="s">
        <v>82</v>
      </c>
      <c r="M123" s="31">
        <v>36</v>
      </c>
      <c r="N123" s="32">
        <v>37</v>
      </c>
      <c r="O123" s="32">
        <v>38</v>
      </c>
      <c r="P123" s="32">
        <v>39</v>
      </c>
      <c r="Q123" s="32">
        <v>40</v>
      </c>
      <c r="R123" s="32">
        <v>41</v>
      </c>
      <c r="S123" s="32"/>
      <c r="T123" s="137"/>
      <c r="U123" s="62"/>
      <c r="V123" s="217"/>
      <c r="W123" s="236"/>
      <c r="X123" s="253">
        <v>15</v>
      </c>
      <c r="Y123" s="253">
        <v>15</v>
      </c>
      <c r="Z123" s="253">
        <v>15</v>
      </c>
      <c r="AA123" s="315">
        <f>SUM(X123:Z123)</f>
        <v>45</v>
      </c>
      <c r="AB123" s="319">
        <v>45</v>
      </c>
      <c r="AD123"/>
    </row>
    <row r="124" spans="1:31" ht="39" customHeight="1" thickBot="1" x14ac:dyDescent="0.55000000000000004">
      <c r="A124" s="45"/>
      <c r="B124" s="369"/>
      <c r="C124" s="145" t="s">
        <v>43</v>
      </c>
      <c r="D124" s="41" t="s">
        <v>18</v>
      </c>
      <c r="E124" s="42" t="s">
        <v>93</v>
      </c>
      <c r="F124" s="363"/>
      <c r="G124" s="363"/>
      <c r="H124" s="363"/>
      <c r="I124" s="363"/>
      <c r="J124" s="372"/>
      <c r="K124" s="205"/>
      <c r="L124" s="202"/>
      <c r="M124" s="43">
        <v>2</v>
      </c>
      <c r="N124" s="44">
        <v>3</v>
      </c>
      <c r="O124" s="44">
        <v>4</v>
      </c>
      <c r="P124" s="44">
        <v>3</v>
      </c>
      <c r="Q124" s="44">
        <v>2</v>
      </c>
      <c r="R124" s="44">
        <v>1</v>
      </c>
      <c r="S124" s="44"/>
      <c r="T124" s="138"/>
      <c r="U124" s="66">
        <v>15</v>
      </c>
      <c r="V124" s="218">
        <v>9990</v>
      </c>
      <c r="W124" s="13"/>
      <c r="X124" s="268" t="s">
        <v>146</v>
      </c>
      <c r="Y124" s="268" t="s">
        <v>146</v>
      </c>
      <c r="Z124" s="268" t="s">
        <v>146</v>
      </c>
      <c r="AA124" s="315">
        <f>SUM(X124:Z124)</f>
        <v>0</v>
      </c>
      <c r="AB124" s="319"/>
      <c r="AD124"/>
    </row>
    <row r="125" spans="1:31" ht="39" customHeight="1" thickBot="1" x14ac:dyDescent="0.55000000000000004">
      <c r="A125" s="45"/>
      <c r="B125" s="370"/>
      <c r="C125" s="64" t="s">
        <v>43</v>
      </c>
      <c r="D125" s="51"/>
      <c r="E125" s="40"/>
      <c r="F125" s="363"/>
      <c r="G125" s="363"/>
      <c r="H125" s="363"/>
      <c r="I125" s="363"/>
      <c r="J125" s="372"/>
      <c r="K125" s="205"/>
      <c r="L125" s="108"/>
      <c r="M125" s="36"/>
      <c r="N125" s="37"/>
      <c r="O125" s="37"/>
      <c r="P125" s="37"/>
      <c r="Q125" s="37"/>
      <c r="R125" s="37"/>
      <c r="S125" s="38"/>
      <c r="T125" s="39"/>
      <c r="U125" s="66"/>
      <c r="V125" s="218"/>
      <c r="W125" s="13"/>
      <c r="Z125" s="254"/>
      <c r="AA125" s="315"/>
      <c r="AB125" s="319"/>
      <c r="AD125"/>
    </row>
    <row r="126" spans="1:31" ht="39" customHeight="1" thickBot="1" x14ac:dyDescent="0.55000000000000004">
      <c r="A126" s="45"/>
      <c r="B126" s="193" t="s">
        <v>104</v>
      </c>
      <c r="C126" s="64" t="s">
        <v>121</v>
      </c>
      <c r="D126" s="79"/>
      <c r="E126" s="70"/>
      <c r="F126" s="364"/>
      <c r="G126" s="364"/>
      <c r="H126" s="364"/>
      <c r="I126" s="364"/>
      <c r="J126" s="373"/>
      <c r="K126" s="252"/>
      <c r="L126" s="110"/>
      <c r="M126" s="49"/>
      <c r="N126" s="50"/>
      <c r="O126" s="50"/>
      <c r="P126" s="50"/>
      <c r="Q126" s="50"/>
      <c r="R126" s="50"/>
      <c r="S126" s="50"/>
      <c r="T126" s="55"/>
      <c r="U126" s="54"/>
      <c r="V126" s="219"/>
      <c r="W126" s="238"/>
      <c r="X126" s="255"/>
      <c r="Y126" s="255"/>
      <c r="Z126" s="255"/>
      <c r="AA126" s="315"/>
      <c r="AB126" s="319"/>
      <c r="AD126"/>
    </row>
    <row r="127" spans="1:31" ht="39" customHeight="1" thickBot="1" x14ac:dyDescent="0.55000000000000004">
      <c r="A127" s="161"/>
      <c r="B127" s="365">
        <v>9876</v>
      </c>
      <c r="C127" s="60" t="s">
        <v>36</v>
      </c>
      <c r="D127" s="139" t="s">
        <v>23</v>
      </c>
      <c r="E127" s="40" t="s">
        <v>24</v>
      </c>
      <c r="F127" s="363" t="s">
        <v>59</v>
      </c>
      <c r="G127" s="363" t="s">
        <v>92</v>
      </c>
      <c r="H127" s="363" t="s">
        <v>66</v>
      </c>
      <c r="I127" s="363" t="s">
        <v>122</v>
      </c>
      <c r="J127" s="372" t="s">
        <v>123</v>
      </c>
      <c r="K127" s="250"/>
      <c r="L127" s="108" t="s">
        <v>30</v>
      </c>
      <c r="M127" s="36">
        <v>26</v>
      </c>
      <c r="N127" s="37">
        <v>27</v>
      </c>
      <c r="O127" s="37">
        <v>28</v>
      </c>
      <c r="P127" s="37">
        <v>29</v>
      </c>
      <c r="Q127" s="37"/>
      <c r="R127" s="37"/>
      <c r="S127" s="141"/>
      <c r="T127" s="142"/>
      <c r="U127" s="143"/>
      <c r="V127" s="222"/>
      <c r="W127" s="228"/>
      <c r="X127" s="260"/>
      <c r="Y127" s="260"/>
      <c r="Z127" s="260"/>
      <c r="AA127" s="315"/>
      <c r="AB127" s="319"/>
      <c r="AD127"/>
    </row>
    <row r="128" spans="1:31" ht="39" customHeight="1" thickBot="1" x14ac:dyDescent="0.55000000000000004">
      <c r="A128" s="162"/>
      <c r="B128" s="366"/>
      <c r="C128" s="64" t="s">
        <v>43</v>
      </c>
      <c r="D128" s="41" t="s">
        <v>18</v>
      </c>
      <c r="E128" s="42" t="s">
        <v>107</v>
      </c>
      <c r="F128" s="363"/>
      <c r="G128" s="363"/>
      <c r="H128" s="363"/>
      <c r="I128" s="363"/>
      <c r="J128" s="372"/>
      <c r="K128" s="205"/>
      <c r="L128" s="108" t="s">
        <v>63</v>
      </c>
      <c r="M128" s="43">
        <v>3</v>
      </c>
      <c r="N128" s="44">
        <v>3</v>
      </c>
      <c r="O128" s="44">
        <v>3</v>
      </c>
      <c r="P128" s="44">
        <v>3</v>
      </c>
      <c r="Q128" s="44"/>
      <c r="R128" s="44"/>
      <c r="S128" s="140"/>
      <c r="T128" s="87"/>
      <c r="U128" s="66">
        <v>12</v>
      </c>
      <c r="V128" s="222">
        <v>12990</v>
      </c>
      <c r="W128" s="228"/>
      <c r="Z128" s="254"/>
      <c r="AA128" s="315"/>
      <c r="AB128" s="319"/>
      <c r="AD128"/>
    </row>
    <row r="129" spans="1:30" ht="39" customHeight="1" thickBot="1" x14ac:dyDescent="0.55000000000000004">
      <c r="A129" s="162"/>
      <c r="B129" s="366"/>
      <c r="C129" s="64" t="s">
        <v>43</v>
      </c>
      <c r="D129" s="109"/>
      <c r="E129" s="42"/>
      <c r="F129" s="363"/>
      <c r="G129" s="363"/>
      <c r="H129" s="363"/>
      <c r="I129" s="363"/>
      <c r="J129" s="372"/>
      <c r="K129" s="205"/>
      <c r="L129" s="108" t="s">
        <v>114</v>
      </c>
      <c r="M129" s="36">
        <v>30</v>
      </c>
      <c r="N129" s="37">
        <v>31</v>
      </c>
      <c r="O129" s="37">
        <v>32</v>
      </c>
      <c r="P129" s="37">
        <v>33</v>
      </c>
      <c r="Q129" s="37"/>
      <c r="R129" s="37"/>
      <c r="S129" s="141"/>
      <c r="T129" s="142"/>
      <c r="U129" s="143"/>
      <c r="V129" s="222"/>
      <c r="W129" s="228"/>
      <c r="Z129" s="254"/>
      <c r="AA129" s="315"/>
      <c r="AB129" s="319"/>
      <c r="AD129"/>
    </row>
    <row r="130" spans="1:30" ht="39" customHeight="1" thickBot="1" x14ac:dyDescent="0.55000000000000004">
      <c r="A130" s="162"/>
      <c r="B130" s="366"/>
      <c r="C130" s="64" t="s">
        <v>86</v>
      </c>
      <c r="D130" s="41" t="s">
        <v>32</v>
      </c>
      <c r="E130" s="42" t="s">
        <v>124</v>
      </c>
      <c r="F130" s="363"/>
      <c r="G130" s="363"/>
      <c r="H130" s="363"/>
      <c r="I130" s="363"/>
      <c r="J130" s="372"/>
      <c r="K130" s="205"/>
      <c r="L130" s="108" t="s">
        <v>115</v>
      </c>
      <c r="M130" s="43">
        <v>3</v>
      </c>
      <c r="N130" s="44">
        <v>3</v>
      </c>
      <c r="O130" s="44">
        <v>3</v>
      </c>
      <c r="P130" s="44">
        <v>3</v>
      </c>
      <c r="Q130" s="44"/>
      <c r="R130" s="44"/>
      <c r="S130" s="140"/>
      <c r="T130" s="87"/>
      <c r="U130" s="66">
        <v>12</v>
      </c>
      <c r="V130" s="222">
        <v>13490</v>
      </c>
      <c r="W130" s="228"/>
      <c r="Z130" s="254"/>
      <c r="AA130" s="315"/>
      <c r="AB130" s="319"/>
      <c r="AD130"/>
    </row>
    <row r="131" spans="1:30" ht="39" customHeight="1" thickBot="1" x14ac:dyDescent="0.55000000000000004">
      <c r="A131" s="162"/>
      <c r="B131" s="366"/>
      <c r="C131" s="64"/>
      <c r="D131"/>
      <c r="E131" s="42"/>
      <c r="F131" s="363"/>
      <c r="G131" s="363"/>
      <c r="H131" s="363"/>
      <c r="I131" s="363"/>
      <c r="J131" s="372"/>
      <c r="K131" s="205"/>
      <c r="L131" s="108"/>
      <c r="M131" s="36">
        <v>34</v>
      </c>
      <c r="N131" s="37">
        <v>35</v>
      </c>
      <c r="O131" s="37">
        <v>36</v>
      </c>
      <c r="P131" s="37">
        <v>37</v>
      </c>
      <c r="Q131" s="37">
        <v>38</v>
      </c>
      <c r="R131" s="37">
        <v>39</v>
      </c>
      <c r="S131" s="37">
        <v>40</v>
      </c>
      <c r="T131" s="142"/>
      <c r="U131" s="143"/>
      <c r="V131" s="222"/>
      <c r="W131" s="228"/>
      <c r="Z131" s="254"/>
      <c r="AA131" s="315"/>
      <c r="AB131" s="319"/>
      <c r="AD131"/>
    </row>
    <row r="132" spans="1:30" ht="39" customHeight="1" thickBot="1" x14ac:dyDescent="0.55000000000000004">
      <c r="A132" s="162"/>
      <c r="B132" s="366"/>
      <c r="C132" s="64"/>
      <c r="D132" s="41"/>
      <c r="E132" s="42"/>
      <c r="F132" s="363"/>
      <c r="G132" s="363"/>
      <c r="H132" s="363"/>
      <c r="I132" s="363"/>
      <c r="J132" s="372"/>
      <c r="K132" s="205"/>
      <c r="L132" s="108"/>
      <c r="M132" s="43">
        <v>1</v>
      </c>
      <c r="N132" s="44">
        <v>2</v>
      </c>
      <c r="O132" s="44">
        <v>3</v>
      </c>
      <c r="P132" s="44">
        <v>3</v>
      </c>
      <c r="Q132" s="44">
        <v>3</v>
      </c>
      <c r="R132" s="44">
        <v>2</v>
      </c>
      <c r="S132" s="140">
        <v>1</v>
      </c>
      <c r="T132" s="87"/>
      <c r="U132" s="66">
        <v>15</v>
      </c>
      <c r="V132" s="222">
        <v>13990</v>
      </c>
      <c r="W132" s="228"/>
      <c r="Z132" s="254"/>
      <c r="AA132" s="315"/>
      <c r="AB132" s="319"/>
      <c r="AD132"/>
    </row>
    <row r="133" spans="1:30" ht="39" customHeight="1" thickBot="1" x14ac:dyDescent="0.55000000000000004">
      <c r="A133" s="162"/>
      <c r="B133" s="367"/>
      <c r="C133" s="64"/>
      <c r="D133" s="51"/>
      <c r="E133" s="40"/>
      <c r="F133" s="363"/>
      <c r="G133" s="363"/>
      <c r="H133" s="363"/>
      <c r="I133" s="363"/>
      <c r="J133" s="372"/>
      <c r="K133" s="205"/>
      <c r="L133" s="108"/>
      <c r="M133" s="48">
        <v>40</v>
      </c>
      <c r="N133" s="48">
        <v>41</v>
      </c>
      <c r="O133" s="48">
        <v>42</v>
      </c>
      <c r="P133" s="48">
        <v>43</v>
      </c>
      <c r="Q133" s="48">
        <v>44</v>
      </c>
      <c r="R133" s="48"/>
      <c r="S133" s="48"/>
      <c r="T133" s="87"/>
      <c r="U133" s="66"/>
      <c r="V133" s="222"/>
      <c r="W133" s="228"/>
      <c r="Z133" s="254"/>
      <c r="AA133" s="315"/>
      <c r="AB133" s="319"/>
      <c r="AD133"/>
    </row>
    <row r="134" spans="1:30" ht="39" customHeight="1" thickBot="1" x14ac:dyDescent="0.55000000000000004">
      <c r="A134" s="163"/>
      <c r="B134" s="194" t="s">
        <v>104</v>
      </c>
      <c r="C134" s="78"/>
      <c r="D134" s="114"/>
      <c r="E134" s="70"/>
      <c r="F134" s="364"/>
      <c r="G134" s="364"/>
      <c r="H134" s="364"/>
      <c r="I134" s="364"/>
      <c r="J134" s="373"/>
      <c r="K134" s="205"/>
      <c r="L134" s="110"/>
      <c r="M134" s="50">
        <v>2</v>
      </c>
      <c r="N134" s="50">
        <v>3</v>
      </c>
      <c r="O134" s="50">
        <v>3</v>
      </c>
      <c r="P134" s="50">
        <v>2</v>
      </c>
      <c r="Q134" s="50">
        <v>2</v>
      </c>
      <c r="R134" s="50"/>
      <c r="S134" s="50"/>
      <c r="T134" s="101"/>
      <c r="U134" s="54">
        <v>12</v>
      </c>
      <c r="V134" s="223">
        <v>14490</v>
      </c>
      <c r="W134" s="228"/>
      <c r="Z134" s="254"/>
      <c r="AA134" s="315"/>
      <c r="AB134" s="319"/>
      <c r="AD134"/>
    </row>
    <row r="135" spans="1:30" ht="39" customHeight="1" thickBot="1" x14ac:dyDescent="0.55000000000000004">
      <c r="A135" s="381"/>
      <c r="B135" s="383" t="s">
        <v>125</v>
      </c>
      <c r="C135" s="64" t="s">
        <v>36</v>
      </c>
      <c r="D135" s="51" t="s">
        <v>18</v>
      </c>
      <c r="E135" s="40" t="s">
        <v>50</v>
      </c>
      <c r="F135" s="363" t="s">
        <v>59</v>
      </c>
      <c r="G135" s="363" t="s">
        <v>92</v>
      </c>
      <c r="H135" s="363" t="s">
        <v>66</v>
      </c>
      <c r="I135" s="363" t="s">
        <v>122</v>
      </c>
      <c r="J135" s="371" t="s">
        <v>123</v>
      </c>
      <c r="K135" s="205"/>
      <c r="L135" s="207"/>
      <c r="M135" s="48"/>
      <c r="N135" s="48"/>
      <c r="O135" s="48"/>
      <c r="P135" s="48"/>
      <c r="Q135" s="48"/>
      <c r="R135" s="48"/>
      <c r="S135" s="48"/>
      <c r="T135" s="87"/>
      <c r="U135" s="66"/>
      <c r="V135" s="218"/>
      <c r="W135" s="13"/>
      <c r="Z135" s="254"/>
      <c r="AA135" s="315"/>
      <c r="AB135" s="319"/>
      <c r="AD135"/>
    </row>
    <row r="136" spans="1:30" ht="39" customHeight="1" thickBot="1" x14ac:dyDescent="0.55000000000000004">
      <c r="A136" s="381"/>
      <c r="B136" s="383"/>
      <c r="C136" s="64" t="s">
        <v>43</v>
      </c>
      <c r="D136" s="41"/>
      <c r="E136" s="42"/>
      <c r="F136" s="363"/>
      <c r="G136" s="363"/>
      <c r="H136" s="363">
        <v>0</v>
      </c>
      <c r="I136" s="363"/>
      <c r="J136" s="372"/>
      <c r="K136" s="205"/>
      <c r="L136" s="207" t="s">
        <v>77</v>
      </c>
      <c r="M136" s="43"/>
      <c r="N136" s="44"/>
      <c r="O136" s="44"/>
      <c r="P136" s="44"/>
      <c r="Q136" s="44"/>
      <c r="R136" s="44"/>
      <c r="S136" s="44"/>
      <c r="T136" s="87"/>
      <c r="U136" s="66"/>
      <c r="V136" s="218"/>
      <c r="W136" s="13"/>
      <c r="Z136" s="254"/>
      <c r="AA136" s="315"/>
      <c r="AB136" s="319"/>
      <c r="AD136"/>
    </row>
    <row r="137" spans="1:30" ht="39" customHeight="1" thickBot="1" x14ac:dyDescent="0.55000000000000004">
      <c r="A137" s="381"/>
      <c r="B137" s="384"/>
      <c r="C137" s="64" t="s">
        <v>43</v>
      </c>
      <c r="D137" s="51"/>
      <c r="E137" s="40"/>
      <c r="F137" s="363"/>
      <c r="G137" s="363"/>
      <c r="H137" s="363">
        <v>0</v>
      </c>
      <c r="I137" s="363"/>
      <c r="J137" s="372"/>
      <c r="K137" s="205"/>
      <c r="L137" s="207"/>
      <c r="M137" s="48">
        <v>39</v>
      </c>
      <c r="N137" s="48">
        <v>40</v>
      </c>
      <c r="O137" s="48">
        <v>41</v>
      </c>
      <c r="P137" s="48">
        <v>42</v>
      </c>
      <c r="Q137" s="48">
        <v>43</v>
      </c>
      <c r="R137" s="48">
        <v>44</v>
      </c>
      <c r="S137" s="48"/>
      <c r="T137" s="87"/>
      <c r="U137" s="66"/>
      <c r="V137" s="218"/>
      <c r="W137" s="13"/>
      <c r="Z137" s="254"/>
      <c r="AA137" s="315"/>
      <c r="AB137" s="319"/>
      <c r="AD137"/>
    </row>
    <row r="138" spans="1:30" ht="39" customHeight="1" thickBot="1" x14ac:dyDescent="0.55000000000000004">
      <c r="A138" s="382"/>
      <c r="B138" s="195" t="s">
        <v>104</v>
      </c>
      <c r="C138" s="64" t="s">
        <v>86</v>
      </c>
      <c r="D138" s="79"/>
      <c r="E138" s="70"/>
      <c r="F138" s="364"/>
      <c r="G138" s="364"/>
      <c r="H138" s="364">
        <v>0</v>
      </c>
      <c r="I138" s="364"/>
      <c r="J138" s="373"/>
      <c r="K138" s="205"/>
      <c r="L138" s="213"/>
      <c r="M138" s="72">
        <v>2</v>
      </c>
      <c r="N138" s="73">
        <v>3</v>
      </c>
      <c r="O138" s="73">
        <v>4</v>
      </c>
      <c r="P138" s="73">
        <v>3</v>
      </c>
      <c r="Q138" s="73">
        <v>2</v>
      </c>
      <c r="R138" s="73">
        <v>1</v>
      </c>
      <c r="S138" s="73"/>
      <c r="T138" s="135"/>
      <c r="U138" s="75">
        <v>15</v>
      </c>
      <c r="V138" s="218">
        <v>14990</v>
      </c>
      <c r="W138" s="13"/>
      <c r="Z138" s="254"/>
      <c r="AA138" s="315"/>
      <c r="AB138" s="319"/>
      <c r="AD138"/>
    </row>
    <row r="139" spans="1:30" ht="39" customHeight="1" thickBot="1" x14ac:dyDescent="0.55000000000000004">
      <c r="A139" s="148"/>
      <c r="B139" s="365">
        <v>9888</v>
      </c>
      <c r="C139" s="60" t="s">
        <v>36</v>
      </c>
      <c r="D139" s="146"/>
      <c r="E139" s="136"/>
      <c r="F139" s="362" t="s">
        <v>59</v>
      </c>
      <c r="G139" s="362" t="s">
        <v>92</v>
      </c>
      <c r="H139" s="362" t="s">
        <v>66</v>
      </c>
      <c r="I139" s="362" t="s">
        <v>67</v>
      </c>
      <c r="J139" s="371" t="s">
        <v>128</v>
      </c>
      <c r="K139" s="205"/>
      <c r="L139" s="34" t="s">
        <v>77</v>
      </c>
      <c r="M139" s="32">
        <v>39</v>
      </c>
      <c r="N139" s="32">
        <v>40</v>
      </c>
      <c r="O139" s="32">
        <v>41</v>
      </c>
      <c r="P139" s="32">
        <v>42</v>
      </c>
      <c r="Q139" s="32">
        <v>43</v>
      </c>
      <c r="R139" s="32">
        <v>44</v>
      </c>
      <c r="S139" s="32"/>
      <c r="T139" s="56"/>
      <c r="U139" s="62"/>
      <c r="V139" s="217"/>
      <c r="W139" s="13"/>
      <c r="AA139" s="315"/>
      <c r="AB139" s="319"/>
      <c r="AC139" s="10"/>
      <c r="AD139"/>
    </row>
    <row r="140" spans="1:30" ht="39" customHeight="1" thickBot="1" x14ac:dyDescent="0.55000000000000004">
      <c r="A140" s="149"/>
      <c r="B140" s="366"/>
      <c r="C140" s="145" t="s">
        <v>43</v>
      </c>
      <c r="D140" s="51" t="s">
        <v>18</v>
      </c>
      <c r="E140" s="42" t="s">
        <v>126</v>
      </c>
      <c r="F140" s="363"/>
      <c r="G140" s="363"/>
      <c r="H140" s="363"/>
      <c r="I140" s="363"/>
      <c r="J140" s="372"/>
      <c r="K140" s="205"/>
      <c r="L140" s="108"/>
      <c r="M140" s="43">
        <v>1</v>
      </c>
      <c r="N140" s="44">
        <v>2</v>
      </c>
      <c r="O140" s="44">
        <v>4</v>
      </c>
      <c r="P140" s="44">
        <v>4</v>
      </c>
      <c r="Q140" s="44">
        <v>3</v>
      </c>
      <c r="R140" s="44">
        <v>1</v>
      </c>
      <c r="S140" s="44"/>
      <c r="T140" s="46"/>
      <c r="U140" s="66">
        <v>15</v>
      </c>
      <c r="V140" s="218">
        <v>10990</v>
      </c>
      <c r="W140" s="13"/>
      <c r="X140" s="268" t="s">
        <v>151</v>
      </c>
      <c r="Y140" s="268" t="s">
        <v>151</v>
      </c>
      <c r="AA140" s="315">
        <f>SUM(X140:Z140)</f>
        <v>0</v>
      </c>
      <c r="AB140" s="319"/>
      <c r="AC140" s="10"/>
      <c r="AD140"/>
    </row>
    <row r="141" spans="1:30" ht="39" customHeight="1" thickBot="1" x14ac:dyDescent="0.55000000000000004">
      <c r="A141" s="149"/>
      <c r="B141" s="367"/>
      <c r="C141" s="64" t="s">
        <v>43</v>
      </c>
      <c r="D141" s="41" t="s">
        <v>20</v>
      </c>
      <c r="E141" s="42" t="s">
        <v>57</v>
      </c>
      <c r="F141" s="363"/>
      <c r="G141" s="363"/>
      <c r="H141" s="363"/>
      <c r="I141" s="363"/>
      <c r="J141" s="372"/>
      <c r="K141" s="205"/>
      <c r="L141" s="108"/>
      <c r="M141" s="36"/>
      <c r="N141" s="37"/>
      <c r="O141" s="37"/>
      <c r="P141" s="37"/>
      <c r="Q141" s="37"/>
      <c r="R141" s="37"/>
      <c r="S141" s="38"/>
      <c r="T141" s="39"/>
      <c r="U141" s="35"/>
      <c r="V141" s="218"/>
      <c r="W141" s="13"/>
      <c r="X141" s="268" t="s">
        <v>151</v>
      </c>
      <c r="Y141" s="268" t="s">
        <v>151</v>
      </c>
      <c r="AA141" s="315">
        <f>SUM(X141:Z141)</f>
        <v>0</v>
      </c>
      <c r="AB141" s="319"/>
      <c r="AC141" s="10"/>
      <c r="AD141"/>
    </row>
    <row r="142" spans="1:30" ht="39" customHeight="1" thickBot="1" x14ac:dyDescent="0.55000000000000004">
      <c r="A142" s="150"/>
      <c r="B142" s="196" t="s">
        <v>72</v>
      </c>
      <c r="C142" s="69" t="s">
        <v>65</v>
      </c>
      <c r="D142" s="114"/>
      <c r="E142" s="70"/>
      <c r="F142" s="364"/>
      <c r="G142" s="364"/>
      <c r="H142" s="364"/>
      <c r="I142" s="364"/>
      <c r="J142" s="373"/>
      <c r="K142" s="205"/>
      <c r="L142" s="116"/>
      <c r="M142" s="49"/>
      <c r="N142" s="50"/>
      <c r="O142" s="50"/>
      <c r="P142" s="50"/>
      <c r="Q142" s="50"/>
      <c r="R142" s="50"/>
      <c r="S142" s="50"/>
      <c r="T142" s="55"/>
      <c r="U142" s="54"/>
      <c r="V142" s="219"/>
      <c r="W142" s="13"/>
      <c r="AA142" s="315"/>
      <c r="AB142" s="319"/>
      <c r="AC142" s="10"/>
      <c r="AD142"/>
    </row>
    <row r="143" spans="1:30" ht="39" customHeight="1" thickBot="1" x14ac:dyDescent="0.55000000000000004">
      <c r="A143" s="63"/>
      <c r="B143" s="368">
        <v>9890</v>
      </c>
      <c r="C143" s="60" t="s">
        <v>36</v>
      </c>
      <c r="D143" s="29" t="s">
        <v>23</v>
      </c>
      <c r="E143" s="30" t="s">
        <v>24</v>
      </c>
      <c r="F143" s="362" t="s">
        <v>91</v>
      </c>
      <c r="G143" s="362" t="s">
        <v>92</v>
      </c>
      <c r="H143" s="362" t="s">
        <v>66</v>
      </c>
      <c r="I143" s="362" t="s">
        <v>90</v>
      </c>
      <c r="J143" s="371" t="s">
        <v>95</v>
      </c>
      <c r="K143" s="205"/>
      <c r="L143" s="202" t="s">
        <v>77</v>
      </c>
      <c r="M143" s="31">
        <v>39</v>
      </c>
      <c r="N143" s="32">
        <v>40</v>
      </c>
      <c r="O143" s="32">
        <v>41</v>
      </c>
      <c r="P143" s="32">
        <v>42</v>
      </c>
      <c r="Q143" s="32">
        <v>43</v>
      </c>
      <c r="R143" s="32">
        <v>44</v>
      </c>
      <c r="S143" s="32"/>
      <c r="T143" s="56"/>
      <c r="U143" s="62"/>
      <c r="V143" s="217"/>
      <c r="W143" s="13"/>
      <c r="Z143" s="254"/>
      <c r="AA143" s="315"/>
      <c r="AB143" s="319"/>
      <c r="AD143"/>
    </row>
    <row r="144" spans="1:30" ht="39" customHeight="1" thickBot="1" x14ac:dyDescent="0.55000000000000004">
      <c r="A144" s="45"/>
      <c r="B144" s="369"/>
      <c r="C144" s="64" t="s">
        <v>43</v>
      </c>
      <c r="D144" s="41" t="s">
        <v>18</v>
      </c>
      <c r="E144" s="42" t="s">
        <v>50</v>
      </c>
      <c r="F144" s="363"/>
      <c r="G144" s="363"/>
      <c r="H144" s="363"/>
      <c r="I144" s="363"/>
      <c r="J144" s="372"/>
      <c r="K144" s="205"/>
      <c r="L144" s="202"/>
      <c r="M144" s="43">
        <v>1</v>
      </c>
      <c r="N144" s="44">
        <v>2</v>
      </c>
      <c r="O144" s="44">
        <v>4</v>
      </c>
      <c r="P144" s="44">
        <v>4</v>
      </c>
      <c r="Q144" s="44">
        <v>3</v>
      </c>
      <c r="R144" s="44">
        <v>1</v>
      </c>
      <c r="S144" s="44"/>
      <c r="T144" s="46"/>
      <c r="U144" s="66">
        <v>15</v>
      </c>
      <c r="V144" s="218">
        <v>11990</v>
      </c>
      <c r="W144" s="13"/>
      <c r="X144" s="254">
        <v>15</v>
      </c>
      <c r="Y144" s="254">
        <v>15</v>
      </c>
      <c r="Z144" s="254"/>
      <c r="AA144" s="315">
        <f>SUM(X144:Z144)</f>
        <v>30</v>
      </c>
      <c r="AB144" s="319"/>
      <c r="AD144"/>
    </row>
    <row r="145" spans="1:30" ht="39" customHeight="1" thickBot="1" x14ac:dyDescent="0.55000000000000004">
      <c r="A145" s="45"/>
      <c r="B145" s="370"/>
      <c r="C145" s="64" t="s">
        <v>43</v>
      </c>
      <c r="D145" s="41" t="s">
        <v>20</v>
      </c>
      <c r="E145" s="42" t="s">
        <v>73</v>
      </c>
      <c r="F145" s="363"/>
      <c r="G145" s="363"/>
      <c r="H145" s="363"/>
      <c r="I145" s="363"/>
      <c r="J145" s="372"/>
      <c r="K145" s="205"/>
      <c r="L145" s="108"/>
      <c r="M145" s="36"/>
      <c r="N145" s="37"/>
      <c r="O145" s="37"/>
      <c r="P145" s="37"/>
      <c r="Q145" s="37"/>
      <c r="R145" s="37"/>
      <c r="S145" s="38"/>
      <c r="T145" s="39"/>
      <c r="U145" s="35"/>
      <c r="V145" s="218"/>
      <c r="W145" s="13"/>
      <c r="X145" s="254">
        <v>15</v>
      </c>
      <c r="Y145" s="254">
        <v>15</v>
      </c>
      <c r="Z145" s="254"/>
      <c r="AA145" s="315">
        <f>SUM(X145:Z145)</f>
        <v>30</v>
      </c>
      <c r="AB145" s="319"/>
      <c r="AD145"/>
    </row>
    <row r="146" spans="1:30" ht="39" customHeight="1" thickBot="1" x14ac:dyDescent="0.55000000000000004">
      <c r="A146" s="59"/>
      <c r="B146" s="196" t="s">
        <v>72</v>
      </c>
      <c r="C146" s="78" t="s">
        <v>65</v>
      </c>
      <c r="D146" s="79"/>
      <c r="E146" s="81" t="s">
        <v>79</v>
      </c>
      <c r="F146" s="364"/>
      <c r="G146" s="364"/>
      <c r="H146" s="364"/>
      <c r="I146" s="364"/>
      <c r="J146" s="373"/>
      <c r="K146" s="205"/>
      <c r="L146" s="110"/>
      <c r="M146" s="49"/>
      <c r="N146" s="50"/>
      <c r="O146" s="50"/>
      <c r="P146" s="50"/>
      <c r="Q146" s="50"/>
      <c r="R146" s="50"/>
      <c r="S146" s="50"/>
      <c r="T146" s="55"/>
      <c r="U146" s="54"/>
      <c r="V146" s="218"/>
      <c r="W146" s="13"/>
      <c r="Z146" s="254"/>
      <c r="AA146" s="315"/>
      <c r="AB146" s="319"/>
      <c r="AD146"/>
    </row>
    <row r="147" spans="1:30" ht="39" customHeight="1" thickBot="1" x14ac:dyDescent="0.55000000000000004">
      <c r="A147" s="148"/>
      <c r="B147" s="365">
        <v>9892</v>
      </c>
      <c r="C147" s="60" t="s">
        <v>36</v>
      </c>
      <c r="D147" s="29" t="s">
        <v>18</v>
      </c>
      <c r="E147" s="30" t="s">
        <v>93</v>
      </c>
      <c r="F147" s="362" t="s">
        <v>91</v>
      </c>
      <c r="G147" s="362" t="s">
        <v>92</v>
      </c>
      <c r="H147" s="362" t="s">
        <v>66</v>
      </c>
      <c r="I147" s="362" t="s">
        <v>90</v>
      </c>
      <c r="J147" s="371" t="s">
        <v>95</v>
      </c>
      <c r="K147" s="205"/>
      <c r="L147" s="201" t="s">
        <v>71</v>
      </c>
      <c r="M147" s="31">
        <v>35</v>
      </c>
      <c r="N147" s="32">
        <v>36</v>
      </c>
      <c r="O147" s="32">
        <v>37</v>
      </c>
      <c r="P147" s="32">
        <v>38</v>
      </c>
      <c r="Q147" s="32">
        <v>39</v>
      </c>
      <c r="R147" s="32">
        <v>40</v>
      </c>
      <c r="S147" s="32"/>
      <c r="T147" s="147"/>
      <c r="U147" s="100"/>
      <c r="V147" s="321"/>
      <c r="W147" s="332"/>
      <c r="X147" s="329">
        <v>15</v>
      </c>
      <c r="Y147" s="329"/>
      <c r="Z147" s="337"/>
      <c r="AA147" s="325">
        <f t="shared" ref="AA147:AA156" si="1">SUM(X147:Z147)</f>
        <v>15</v>
      </c>
      <c r="AB147" s="326">
        <v>15</v>
      </c>
      <c r="AC147" s="10"/>
      <c r="AD147"/>
    </row>
    <row r="148" spans="1:30" ht="39" customHeight="1" thickBot="1" x14ac:dyDescent="0.55000000000000004">
      <c r="A148" s="149"/>
      <c r="B148" s="366"/>
      <c r="C148" s="64" t="s">
        <v>43</v>
      </c>
      <c r="D148" s="51"/>
      <c r="E148" s="42"/>
      <c r="F148" s="363"/>
      <c r="G148" s="363"/>
      <c r="H148" s="363"/>
      <c r="I148" s="363"/>
      <c r="J148" s="372"/>
      <c r="K148" s="205"/>
      <c r="L148" s="202" t="s">
        <v>115</v>
      </c>
      <c r="M148" s="43">
        <v>2</v>
      </c>
      <c r="N148" s="44">
        <v>2</v>
      </c>
      <c r="O148" s="44">
        <v>3</v>
      </c>
      <c r="P148" s="44">
        <v>3</v>
      </c>
      <c r="Q148" s="44">
        <v>3</v>
      </c>
      <c r="R148" s="44">
        <v>2</v>
      </c>
      <c r="S148" s="44"/>
      <c r="T148" s="118"/>
      <c r="U148" s="66">
        <v>15</v>
      </c>
      <c r="V148" s="331">
        <v>14490</v>
      </c>
      <c r="W148" s="332"/>
      <c r="X148" s="329">
        <v>15</v>
      </c>
      <c r="Y148" s="329">
        <v>15</v>
      </c>
      <c r="Z148" s="337"/>
      <c r="AA148" s="325">
        <f t="shared" si="1"/>
        <v>30</v>
      </c>
      <c r="AB148" s="326">
        <v>30</v>
      </c>
      <c r="AC148" s="10"/>
      <c r="AD148"/>
    </row>
    <row r="149" spans="1:30" ht="39" customHeight="1" thickBot="1" x14ac:dyDescent="0.55000000000000004">
      <c r="A149" s="149"/>
      <c r="B149" s="367"/>
      <c r="C149" s="64" t="s">
        <v>43</v>
      </c>
      <c r="D149" s="41"/>
      <c r="E149" s="42"/>
      <c r="F149" s="363"/>
      <c r="G149" s="363"/>
      <c r="H149" s="363"/>
      <c r="I149" s="363"/>
      <c r="J149" s="372"/>
      <c r="K149" s="205"/>
      <c r="L149" s="108"/>
      <c r="M149" s="36">
        <v>40</v>
      </c>
      <c r="N149" s="37">
        <v>41</v>
      </c>
      <c r="O149" s="37">
        <v>42</v>
      </c>
      <c r="P149" s="37">
        <v>43</v>
      </c>
      <c r="Q149" s="37">
        <v>44</v>
      </c>
      <c r="R149" s="37"/>
      <c r="S149" s="37"/>
      <c r="T149" s="40"/>
      <c r="U149" s="35"/>
      <c r="V149" s="331"/>
      <c r="W149" s="332"/>
      <c r="X149" s="329"/>
      <c r="Y149" s="329"/>
      <c r="Z149" s="337"/>
      <c r="AA149" s="325"/>
      <c r="AB149" s="326"/>
      <c r="AC149" s="10"/>
      <c r="AD149"/>
    </row>
    <row r="150" spans="1:30" ht="39" customHeight="1" thickBot="1" x14ac:dyDescent="0.55000000000000004">
      <c r="A150" s="149"/>
      <c r="B150" s="196" t="s">
        <v>72</v>
      </c>
      <c r="C150" s="69" t="s">
        <v>65</v>
      </c>
      <c r="D150" s="114"/>
      <c r="E150" s="70"/>
      <c r="F150" s="364"/>
      <c r="G150" s="364"/>
      <c r="H150" s="364"/>
      <c r="I150" s="364"/>
      <c r="J150" s="373"/>
      <c r="K150" s="205"/>
      <c r="L150" s="239"/>
      <c r="M150" s="72">
        <v>1</v>
      </c>
      <c r="N150" s="73">
        <v>4</v>
      </c>
      <c r="O150" s="73">
        <v>4</v>
      </c>
      <c r="P150" s="73">
        <v>2</v>
      </c>
      <c r="Q150" s="73">
        <v>1</v>
      </c>
      <c r="R150" s="73"/>
      <c r="S150" s="73"/>
      <c r="T150" s="84"/>
      <c r="U150" s="75">
        <v>12</v>
      </c>
      <c r="V150" s="331">
        <v>14990</v>
      </c>
      <c r="W150" s="332"/>
      <c r="X150" s="338"/>
      <c r="Y150" s="338"/>
      <c r="Z150" s="339"/>
      <c r="AA150" s="325"/>
      <c r="AB150" s="326"/>
      <c r="AC150" s="10"/>
      <c r="AD150"/>
    </row>
    <row r="151" spans="1:30" ht="39" customHeight="1" thickBot="1" x14ac:dyDescent="0.5">
      <c r="A151" s="157"/>
      <c r="B151" s="365">
        <v>9896</v>
      </c>
      <c r="C151" s="60" t="s">
        <v>36</v>
      </c>
      <c r="D151" s="29" t="s">
        <v>19</v>
      </c>
      <c r="E151" s="30" t="s">
        <v>45</v>
      </c>
      <c r="F151" s="362" t="s">
        <v>59</v>
      </c>
      <c r="G151" s="362" t="s">
        <v>92</v>
      </c>
      <c r="H151" s="362" t="s">
        <v>66</v>
      </c>
      <c r="I151" s="362" t="s">
        <v>69</v>
      </c>
      <c r="J151" s="371" t="s">
        <v>95</v>
      </c>
      <c r="K151" s="234"/>
      <c r="L151" s="62" t="s">
        <v>77</v>
      </c>
      <c r="M151" s="32">
        <v>39</v>
      </c>
      <c r="N151" s="32">
        <v>40</v>
      </c>
      <c r="O151" s="32">
        <v>41</v>
      </c>
      <c r="P151" s="32">
        <v>42</v>
      </c>
      <c r="Q151" s="32">
        <v>43</v>
      </c>
      <c r="R151" s="56">
        <v>44</v>
      </c>
      <c r="S151" s="32"/>
      <c r="T151" s="56"/>
      <c r="U151" s="62"/>
      <c r="V151" s="224"/>
      <c r="W151" s="240"/>
      <c r="X151" s="253"/>
      <c r="Y151" s="253"/>
      <c r="Z151" s="253"/>
      <c r="AA151" s="315"/>
      <c r="AB151" s="319"/>
      <c r="AD151"/>
    </row>
    <row r="152" spans="1:30" ht="39" customHeight="1" thickBot="1" x14ac:dyDescent="0.5">
      <c r="A152" s="158"/>
      <c r="B152" s="366"/>
      <c r="C152" s="64" t="s">
        <v>43</v>
      </c>
      <c r="D152" s="41"/>
      <c r="E152" s="42"/>
      <c r="F152" s="363"/>
      <c r="G152" s="363"/>
      <c r="H152" s="363"/>
      <c r="I152" s="363"/>
      <c r="J152" s="372"/>
      <c r="K152" s="234"/>
      <c r="L152" s="35"/>
      <c r="M152" s="43">
        <v>1</v>
      </c>
      <c r="N152" s="44">
        <v>3</v>
      </c>
      <c r="O152" s="44">
        <v>4</v>
      </c>
      <c r="P152" s="44">
        <v>4</v>
      </c>
      <c r="Q152" s="44">
        <v>2</v>
      </c>
      <c r="R152" s="44">
        <v>1</v>
      </c>
      <c r="S152" s="44"/>
      <c r="T152" s="46"/>
      <c r="U152" s="66">
        <v>15</v>
      </c>
      <c r="V152" s="225">
        <v>21990</v>
      </c>
      <c r="W152" s="229"/>
      <c r="Z152" s="254"/>
      <c r="AA152" s="315">
        <f t="shared" si="1"/>
        <v>0</v>
      </c>
      <c r="AB152" s="319"/>
      <c r="AD152"/>
    </row>
    <row r="153" spans="1:30" ht="39" customHeight="1" thickBot="1" x14ac:dyDescent="0.55000000000000004">
      <c r="A153" s="158"/>
      <c r="B153" s="367"/>
      <c r="C153" s="64" t="s">
        <v>43</v>
      </c>
      <c r="D153" s="41"/>
      <c r="E153" s="42"/>
      <c r="F153" s="363"/>
      <c r="G153" s="363"/>
      <c r="H153" s="363"/>
      <c r="I153" s="363"/>
      <c r="J153" s="372"/>
      <c r="K153" s="234"/>
      <c r="L153" s="35"/>
      <c r="M153" s="47"/>
      <c r="N153" s="48"/>
      <c r="O153" s="48"/>
      <c r="P153" s="48"/>
      <c r="Q153" s="48"/>
      <c r="R153" s="48"/>
      <c r="S153" s="48"/>
      <c r="T153" s="87"/>
      <c r="U153" s="66"/>
      <c r="V153" s="220"/>
      <c r="W153" s="227"/>
      <c r="Z153" s="254"/>
      <c r="AA153" s="315"/>
      <c r="AB153" s="319"/>
      <c r="AD153"/>
    </row>
    <row r="154" spans="1:30" ht="39" customHeight="1" thickBot="1" x14ac:dyDescent="0.55000000000000004">
      <c r="A154" s="159"/>
      <c r="B154" s="191" t="s">
        <v>72</v>
      </c>
      <c r="C154" s="64" t="s">
        <v>86</v>
      </c>
      <c r="D154" s="52"/>
      <c r="E154" s="53"/>
      <c r="F154" s="364"/>
      <c r="G154" s="364"/>
      <c r="H154" s="364"/>
      <c r="I154" s="364"/>
      <c r="J154" s="373"/>
      <c r="K154" s="234"/>
      <c r="L154" s="71"/>
      <c r="M154" s="102"/>
      <c r="N154" s="103"/>
      <c r="O154" s="103"/>
      <c r="P154" s="103"/>
      <c r="Q154" s="103"/>
      <c r="R154" s="103"/>
      <c r="S154" s="103"/>
      <c r="T154" s="101"/>
      <c r="U154" s="54"/>
      <c r="V154" s="221"/>
      <c r="W154" s="241"/>
      <c r="X154" s="255"/>
      <c r="Y154" s="255"/>
      <c r="Z154" s="255"/>
      <c r="AA154" s="315"/>
      <c r="AB154" s="319"/>
      <c r="AD154"/>
    </row>
    <row r="155" spans="1:30" ht="39" customHeight="1" thickBot="1" x14ac:dyDescent="0.55000000000000004">
      <c r="A155" s="386"/>
      <c r="B155" s="398" t="s">
        <v>127</v>
      </c>
      <c r="C155" s="60" t="s">
        <v>65</v>
      </c>
      <c r="D155" s="29" t="s">
        <v>23</v>
      </c>
      <c r="E155" s="30" t="s">
        <v>24</v>
      </c>
      <c r="F155" s="362" t="s">
        <v>59</v>
      </c>
      <c r="G155" s="362" t="s">
        <v>92</v>
      </c>
      <c r="H155" s="362" t="s">
        <v>66</v>
      </c>
      <c r="I155" s="362" t="s">
        <v>122</v>
      </c>
      <c r="J155" s="371" t="s">
        <v>123</v>
      </c>
      <c r="K155" s="234"/>
      <c r="L155" s="62" t="s">
        <v>114</v>
      </c>
      <c r="M155" s="31">
        <v>34</v>
      </c>
      <c r="N155" s="32">
        <v>35</v>
      </c>
      <c r="O155" s="32">
        <v>36</v>
      </c>
      <c r="P155" s="32">
        <v>37</v>
      </c>
      <c r="Q155" s="32">
        <v>38</v>
      </c>
      <c r="R155" s="32">
        <v>39</v>
      </c>
      <c r="S155" s="32">
        <v>40</v>
      </c>
      <c r="T155" s="137"/>
      <c r="U155" s="104"/>
      <c r="V155" s="321"/>
      <c r="W155" s="322"/>
      <c r="X155" s="323">
        <v>15</v>
      </c>
      <c r="Y155" s="323">
        <v>15</v>
      </c>
      <c r="Z155" s="324"/>
      <c r="AA155" s="325">
        <f t="shared" si="1"/>
        <v>30</v>
      </c>
      <c r="AB155" s="326">
        <v>30</v>
      </c>
      <c r="AD155"/>
    </row>
    <row r="156" spans="1:30" ht="39" customHeight="1" thickBot="1" x14ac:dyDescent="0.55000000000000004">
      <c r="A156" s="381"/>
      <c r="B156" s="383"/>
      <c r="C156" s="64" t="s">
        <v>43</v>
      </c>
      <c r="D156" s="41" t="s">
        <v>18</v>
      </c>
      <c r="E156" s="40" t="s">
        <v>50</v>
      </c>
      <c r="F156" s="363"/>
      <c r="G156" s="363"/>
      <c r="H156" s="363">
        <v>0</v>
      </c>
      <c r="I156" s="363"/>
      <c r="J156" s="372"/>
      <c r="K156" s="234"/>
      <c r="L156" s="35" t="s">
        <v>115</v>
      </c>
      <c r="M156" s="43">
        <v>1</v>
      </c>
      <c r="N156" s="44">
        <v>2</v>
      </c>
      <c r="O156" s="44">
        <v>3</v>
      </c>
      <c r="P156" s="44">
        <v>3</v>
      </c>
      <c r="Q156" s="44">
        <v>3</v>
      </c>
      <c r="R156" s="44">
        <v>2</v>
      </c>
      <c r="S156" s="144">
        <v>1</v>
      </c>
      <c r="T156" s="87"/>
      <c r="U156" s="66">
        <v>15</v>
      </c>
      <c r="V156" s="327">
        <v>15990</v>
      </c>
      <c r="W156" s="328"/>
      <c r="X156" s="329">
        <v>15</v>
      </c>
      <c r="Y156" s="329">
        <v>15</v>
      </c>
      <c r="Z156" s="330"/>
      <c r="AA156" s="325">
        <f t="shared" si="1"/>
        <v>30</v>
      </c>
      <c r="AB156" s="326">
        <v>30</v>
      </c>
      <c r="AD156"/>
    </row>
    <row r="157" spans="1:30" ht="39" customHeight="1" thickBot="1" x14ac:dyDescent="0.55000000000000004">
      <c r="A157" s="381"/>
      <c r="B157" s="384"/>
      <c r="C157" s="64" t="s">
        <v>43</v>
      </c>
      <c r="D157" s="41"/>
      <c r="E157" s="42"/>
      <c r="F157" s="363"/>
      <c r="G157" s="363"/>
      <c r="H157" s="363">
        <v>0</v>
      </c>
      <c r="I157" s="363"/>
      <c r="J157" s="372"/>
      <c r="K157" s="234"/>
      <c r="L157" s="35"/>
      <c r="M157" s="48">
        <v>40</v>
      </c>
      <c r="N157" s="48">
        <v>41</v>
      </c>
      <c r="O157" s="48">
        <v>42</v>
      </c>
      <c r="P157" s="48">
        <v>43</v>
      </c>
      <c r="Q157" s="48">
        <v>44</v>
      </c>
      <c r="R157" s="48"/>
      <c r="S157" s="48"/>
      <c r="T157" s="87"/>
      <c r="U157" s="66"/>
      <c r="V157" s="331"/>
      <c r="W157" s="332"/>
      <c r="X157" s="329"/>
      <c r="Y157" s="329"/>
      <c r="Z157" s="330"/>
      <c r="AA157" s="325"/>
      <c r="AB157" s="326"/>
      <c r="AD157"/>
    </row>
    <row r="158" spans="1:30" ht="39" customHeight="1" thickBot="1" x14ac:dyDescent="0.55000000000000004">
      <c r="A158" s="382"/>
      <c r="B158" s="197" t="s">
        <v>72</v>
      </c>
      <c r="C158" s="78" t="s">
        <v>86</v>
      </c>
      <c r="D158" s="52"/>
      <c r="E158" s="53"/>
      <c r="F158" s="364"/>
      <c r="G158" s="364"/>
      <c r="H158" s="364">
        <v>0</v>
      </c>
      <c r="I158" s="364"/>
      <c r="J158" s="373"/>
      <c r="K158" s="234"/>
      <c r="L158" s="54"/>
      <c r="M158" s="50">
        <v>2</v>
      </c>
      <c r="N158" s="50">
        <v>3</v>
      </c>
      <c r="O158" s="50">
        <v>3</v>
      </c>
      <c r="P158" s="50">
        <v>2</v>
      </c>
      <c r="Q158" s="50">
        <v>2</v>
      </c>
      <c r="R158" s="50"/>
      <c r="S158" s="50"/>
      <c r="T158" s="101"/>
      <c r="U158" s="54">
        <v>12</v>
      </c>
      <c r="V158" s="333">
        <v>16490</v>
      </c>
      <c r="W158" s="334"/>
      <c r="X158" s="335"/>
      <c r="Y158" s="335"/>
      <c r="Z158" s="336"/>
      <c r="AA158" s="325"/>
      <c r="AB158" s="326"/>
      <c r="AD158"/>
    </row>
    <row r="159" spans="1:30" ht="39" customHeight="1" thickBot="1" x14ac:dyDescent="0.55000000000000004">
      <c r="A159" s="63"/>
      <c r="B159" s="368">
        <v>9919</v>
      </c>
      <c r="C159" s="60" t="s">
        <v>96</v>
      </c>
      <c r="D159" s="29" t="s">
        <v>18</v>
      </c>
      <c r="E159" s="30" t="s">
        <v>50</v>
      </c>
      <c r="F159" s="362" t="s">
        <v>59</v>
      </c>
      <c r="G159" s="362" t="s">
        <v>92</v>
      </c>
      <c r="H159" s="362" t="s">
        <v>66</v>
      </c>
      <c r="I159" s="362" t="s">
        <v>69</v>
      </c>
      <c r="J159" s="371" t="s">
        <v>95</v>
      </c>
      <c r="K159" s="205"/>
      <c r="L159" s="108" t="s">
        <v>77</v>
      </c>
      <c r="M159" s="37">
        <v>39</v>
      </c>
      <c r="N159" s="37">
        <v>40</v>
      </c>
      <c r="O159" s="37">
        <v>41</v>
      </c>
      <c r="P159" s="37">
        <v>42</v>
      </c>
      <c r="Q159" s="37">
        <v>43</v>
      </c>
      <c r="R159" s="68">
        <v>44</v>
      </c>
      <c r="S159" s="38"/>
      <c r="T159" s="39"/>
      <c r="U159" s="35"/>
      <c r="V159" s="218"/>
      <c r="W159" s="13"/>
      <c r="X159" s="260"/>
      <c r="Y159" s="260"/>
      <c r="Z159" s="260"/>
      <c r="AA159" s="315"/>
      <c r="AB159" s="319"/>
      <c r="AD159"/>
    </row>
    <row r="160" spans="1:30" ht="39" customHeight="1" thickBot="1" x14ac:dyDescent="0.55000000000000004">
      <c r="A160" s="45"/>
      <c r="B160" s="369"/>
      <c r="C160" s="64" t="s">
        <v>43</v>
      </c>
      <c r="D160" s="41"/>
      <c r="E160" s="42"/>
      <c r="F160" s="363"/>
      <c r="G160" s="363"/>
      <c r="H160" s="363"/>
      <c r="I160" s="363"/>
      <c r="J160" s="372"/>
      <c r="K160" s="205"/>
      <c r="L160" s="202"/>
      <c r="M160" s="43">
        <v>1</v>
      </c>
      <c r="N160" s="44">
        <v>3</v>
      </c>
      <c r="O160" s="44">
        <v>4</v>
      </c>
      <c r="P160" s="44">
        <v>4</v>
      </c>
      <c r="Q160" s="44">
        <v>2</v>
      </c>
      <c r="R160" s="44">
        <v>1</v>
      </c>
      <c r="S160" s="44"/>
      <c r="T160" s="46"/>
      <c r="U160" s="66">
        <v>15</v>
      </c>
      <c r="V160" s="218">
        <v>21990</v>
      </c>
      <c r="W160" s="13"/>
      <c r="Z160" s="254"/>
      <c r="AA160" s="315"/>
      <c r="AB160" s="319"/>
      <c r="AD160"/>
    </row>
    <row r="161" spans="1:30" ht="39" customHeight="1" thickBot="1" x14ac:dyDescent="0.55000000000000004">
      <c r="A161" s="45"/>
      <c r="B161" s="370"/>
      <c r="C161" s="64" t="s">
        <v>43</v>
      </c>
      <c r="D161" s="41" t="s">
        <v>54</v>
      </c>
      <c r="E161" s="42" t="s">
        <v>55</v>
      </c>
      <c r="F161" s="363"/>
      <c r="G161" s="363"/>
      <c r="H161" s="363"/>
      <c r="I161" s="363"/>
      <c r="J161" s="372"/>
      <c r="K161" s="205"/>
      <c r="L161" s="108"/>
      <c r="M161" s="36"/>
      <c r="N161" s="37"/>
      <c r="O161" s="37"/>
      <c r="P161" s="37"/>
      <c r="Q161" s="44"/>
      <c r="R161" s="44"/>
      <c r="S161" s="44"/>
      <c r="T161" s="46"/>
      <c r="U161" s="66"/>
      <c r="V161" s="218"/>
      <c r="W161" s="13"/>
      <c r="Z161" s="254"/>
      <c r="AA161" s="315"/>
      <c r="AB161" s="319"/>
      <c r="AD161"/>
    </row>
    <row r="162" spans="1:30" ht="39" customHeight="1" thickBot="1" x14ac:dyDescent="0.55000000000000004">
      <c r="A162" s="59"/>
      <c r="B162" s="191" t="s">
        <v>72</v>
      </c>
      <c r="C162" s="78" t="s">
        <v>70</v>
      </c>
      <c r="D162" s="79"/>
      <c r="E162" s="70"/>
      <c r="F162" s="364"/>
      <c r="G162" s="364"/>
      <c r="H162" s="364"/>
      <c r="I162" s="364"/>
      <c r="J162" s="373"/>
      <c r="K162" s="205"/>
      <c r="L162" s="110"/>
      <c r="M162" s="49"/>
      <c r="N162" s="50"/>
      <c r="O162" s="50"/>
      <c r="P162" s="50"/>
      <c r="Q162" s="50"/>
      <c r="R162" s="50"/>
      <c r="S162" s="50"/>
      <c r="T162" s="55"/>
      <c r="U162" s="75"/>
      <c r="V162" s="218"/>
      <c r="W162" s="13"/>
      <c r="X162" s="259"/>
      <c r="Y162" s="259"/>
      <c r="Z162" s="259"/>
      <c r="AA162" s="315"/>
      <c r="AB162" s="319"/>
      <c r="AD162"/>
    </row>
    <row r="163" spans="1:30" ht="39" customHeight="1" thickBot="1" x14ac:dyDescent="0.45">
      <c r="U163" s="395"/>
      <c r="V163" s="396"/>
      <c r="W163" s="397"/>
      <c r="X163" s="261">
        <f>SUM(X9:X162)</f>
        <v>210</v>
      </c>
      <c r="Y163" s="261">
        <f>SUM(Y9:Y162)</f>
        <v>150</v>
      </c>
      <c r="Z163" s="261">
        <f>SUM(Z9:Z162)</f>
        <v>45</v>
      </c>
      <c r="AA163" s="261">
        <f>SUM(AA9:AA162)</f>
        <v>405</v>
      </c>
      <c r="AB163" s="261">
        <f>SUM(AB9:AB162)</f>
        <v>270</v>
      </c>
    </row>
    <row r="164" spans="1:30" ht="39" customHeight="1" x14ac:dyDescent="0.4">
      <c r="X164" s="262"/>
      <c r="Y164" s="262"/>
      <c r="Z164" s="263"/>
      <c r="AA164" s="263"/>
    </row>
    <row r="165" spans="1:30" ht="39" customHeight="1" x14ac:dyDescent="0.4">
      <c r="X165" s="262"/>
      <c r="Y165" s="262"/>
      <c r="Z165" s="263"/>
      <c r="AA165" s="263"/>
    </row>
    <row r="166" spans="1:30" ht="39" customHeight="1" x14ac:dyDescent="0.4">
      <c r="X166" s="262"/>
      <c r="Y166" s="262"/>
      <c r="Z166" s="263"/>
      <c r="AA166" s="263"/>
    </row>
    <row r="167" spans="1:30" ht="39" customHeight="1" x14ac:dyDescent="0.4">
      <c r="X167" s="262"/>
      <c r="Y167" s="262"/>
      <c r="Z167" s="263"/>
      <c r="AA167" s="263"/>
    </row>
    <row r="168" spans="1:30" ht="39" customHeight="1" x14ac:dyDescent="0.4">
      <c r="X168" s="262"/>
      <c r="Y168" s="262"/>
      <c r="Z168" s="263"/>
      <c r="AA168" s="263"/>
    </row>
    <row r="169" spans="1:30" ht="39" customHeight="1" x14ac:dyDescent="0.4">
      <c r="X169" s="262"/>
      <c r="Y169" s="262"/>
      <c r="Z169" s="263"/>
      <c r="AA169" s="263"/>
    </row>
    <row r="170" spans="1:30" ht="39" customHeight="1" x14ac:dyDescent="0.4">
      <c r="X170" s="262"/>
      <c r="Y170" s="262"/>
      <c r="Z170" s="263"/>
      <c r="AA170" s="263"/>
    </row>
    <row r="171" spans="1:30" ht="39" customHeight="1" x14ac:dyDescent="0.4">
      <c r="X171" s="262"/>
      <c r="Y171" s="262"/>
      <c r="Z171" s="263"/>
      <c r="AA171" s="263"/>
    </row>
    <row r="172" spans="1:30" ht="39" customHeight="1" x14ac:dyDescent="0.4">
      <c r="X172" s="262"/>
      <c r="Y172" s="262"/>
      <c r="Z172" s="263"/>
      <c r="AA172" s="263"/>
    </row>
    <row r="173" spans="1:30" ht="39" customHeight="1" x14ac:dyDescent="0.4">
      <c r="X173" s="262"/>
      <c r="Y173" s="262"/>
      <c r="Z173" s="263"/>
      <c r="AA173" s="263"/>
    </row>
    <row r="174" spans="1:30" ht="39" customHeight="1" x14ac:dyDescent="0.4">
      <c r="X174" s="262"/>
      <c r="Y174" s="262"/>
      <c r="Z174" s="263"/>
      <c r="AA174" s="263"/>
    </row>
    <row r="175" spans="1:30" ht="39" customHeight="1" x14ac:dyDescent="0.4">
      <c r="X175" s="262"/>
      <c r="Y175" s="262"/>
      <c r="Z175" s="263"/>
      <c r="AA175" s="263"/>
    </row>
    <row r="176" spans="1:30" ht="39" customHeight="1" x14ac:dyDescent="0.4">
      <c r="X176" s="262"/>
      <c r="Y176" s="262"/>
      <c r="Z176" s="263"/>
      <c r="AA176" s="263"/>
    </row>
    <row r="177" spans="24:27" ht="39" customHeight="1" x14ac:dyDescent="0.4">
      <c r="X177" s="262"/>
      <c r="Y177" s="262"/>
      <c r="Z177" s="263"/>
      <c r="AA177" s="263"/>
    </row>
    <row r="178" spans="24:27" ht="39" customHeight="1" x14ac:dyDescent="0.4">
      <c r="X178" s="262"/>
      <c r="Y178" s="262"/>
      <c r="Z178" s="263"/>
      <c r="AA178" s="263"/>
    </row>
    <row r="179" spans="24:27" ht="39" customHeight="1" x14ac:dyDescent="0.4">
      <c r="X179" s="262"/>
      <c r="Y179" s="262"/>
      <c r="Z179" s="263"/>
      <c r="AA179" s="263"/>
    </row>
    <row r="180" spans="24:27" ht="39" customHeight="1" x14ac:dyDescent="0.4">
      <c r="X180" s="262"/>
      <c r="Y180" s="262"/>
      <c r="Z180" s="263"/>
      <c r="AA180" s="263"/>
    </row>
    <row r="181" spans="24:27" ht="39" customHeight="1" x14ac:dyDescent="0.4">
      <c r="X181" s="262"/>
      <c r="Y181" s="262"/>
      <c r="Z181" s="263"/>
      <c r="AA181" s="263"/>
    </row>
    <row r="182" spans="24:27" ht="39" customHeight="1" x14ac:dyDescent="0.4">
      <c r="X182" s="262"/>
      <c r="Y182" s="262"/>
      <c r="Z182" s="263"/>
      <c r="AA182" s="263"/>
    </row>
    <row r="183" spans="24:27" ht="39" customHeight="1" x14ac:dyDescent="0.4">
      <c r="X183" s="262"/>
      <c r="Y183" s="262"/>
      <c r="Z183" s="263"/>
      <c r="AA183" s="263"/>
    </row>
    <row r="184" spans="24:27" ht="39" customHeight="1" x14ac:dyDescent="0.4">
      <c r="X184" s="262"/>
      <c r="Y184" s="262"/>
      <c r="Z184" s="263"/>
      <c r="AA184" s="263"/>
    </row>
    <row r="185" spans="24:27" ht="39" customHeight="1" x14ac:dyDescent="0.4">
      <c r="X185" s="262"/>
      <c r="Y185" s="262"/>
      <c r="Z185" s="263"/>
      <c r="AA185" s="263"/>
    </row>
    <row r="186" spans="24:27" ht="39" customHeight="1" x14ac:dyDescent="0.4">
      <c r="X186" s="262"/>
      <c r="Y186" s="262"/>
      <c r="Z186" s="263"/>
      <c r="AA186" s="263"/>
    </row>
    <row r="187" spans="24:27" ht="39" customHeight="1" x14ac:dyDescent="0.4">
      <c r="X187" s="262"/>
      <c r="Y187" s="262"/>
      <c r="Z187" s="263"/>
      <c r="AA187" s="263"/>
    </row>
    <row r="188" spans="24:27" ht="39" customHeight="1" x14ac:dyDescent="0.4">
      <c r="X188" s="262"/>
      <c r="Y188" s="262"/>
      <c r="Z188" s="263"/>
      <c r="AA188" s="263"/>
    </row>
    <row r="189" spans="24:27" ht="39" customHeight="1" x14ac:dyDescent="0.4">
      <c r="X189" s="262"/>
      <c r="Y189" s="262"/>
      <c r="Z189" s="263"/>
      <c r="AA189" s="263"/>
    </row>
    <row r="190" spans="24:27" ht="39" customHeight="1" x14ac:dyDescent="0.4">
      <c r="X190" s="262"/>
      <c r="Y190" s="262"/>
      <c r="Z190" s="263"/>
      <c r="AA190" s="263"/>
    </row>
    <row r="191" spans="24:27" ht="39" customHeight="1" x14ac:dyDescent="0.4">
      <c r="X191" s="262"/>
      <c r="Y191" s="262"/>
      <c r="Z191" s="263"/>
      <c r="AA191" s="263"/>
    </row>
    <row r="192" spans="24:27" ht="39" customHeight="1" x14ac:dyDescent="0.4">
      <c r="X192" s="262"/>
      <c r="Y192" s="262"/>
      <c r="Z192" s="263"/>
      <c r="AA192" s="263"/>
    </row>
    <row r="193" spans="24:27" ht="39" customHeight="1" x14ac:dyDescent="0.4">
      <c r="X193" s="262"/>
      <c r="Y193" s="262"/>
      <c r="Z193" s="263"/>
      <c r="AA193" s="263"/>
    </row>
    <row r="194" spans="24:27" ht="39" customHeight="1" x14ac:dyDescent="0.4">
      <c r="X194" s="262"/>
      <c r="Y194" s="262"/>
      <c r="Z194" s="263"/>
      <c r="AA194" s="263"/>
    </row>
    <row r="195" spans="24:27" ht="39" customHeight="1" x14ac:dyDescent="0.4">
      <c r="X195" s="262"/>
      <c r="Y195" s="262"/>
      <c r="Z195" s="263"/>
      <c r="AA195" s="263"/>
    </row>
    <row r="196" spans="24:27" ht="39" customHeight="1" x14ac:dyDescent="0.4">
      <c r="X196" s="262"/>
      <c r="Y196" s="262"/>
      <c r="Z196" s="263"/>
      <c r="AA196" s="263"/>
    </row>
  </sheetData>
  <mergeCells count="233">
    <mergeCell ref="X6:X7"/>
    <mergeCell ref="Y6:Y7"/>
    <mergeCell ref="Z6:Z7"/>
    <mergeCell ref="AA6:AA7"/>
    <mergeCell ref="U163:W163"/>
    <mergeCell ref="A155:A158"/>
    <mergeCell ref="B155:B157"/>
    <mergeCell ref="F155:F158"/>
    <mergeCell ref="G155:G158"/>
    <mergeCell ref="H155:H158"/>
    <mergeCell ref="I155:I158"/>
    <mergeCell ref="J155:J158"/>
    <mergeCell ref="H159:H162"/>
    <mergeCell ref="I159:I162"/>
    <mergeCell ref="J159:J162"/>
    <mergeCell ref="B159:B161"/>
    <mergeCell ref="B123:B125"/>
    <mergeCell ref="F123:F126"/>
    <mergeCell ref="G123:G126"/>
    <mergeCell ref="H123:H126"/>
    <mergeCell ref="I123:I126"/>
    <mergeCell ref="J123:J126"/>
    <mergeCell ref="B127:B133"/>
    <mergeCell ref="F127:F134"/>
    <mergeCell ref="G127:G134"/>
    <mergeCell ref="H127:H134"/>
    <mergeCell ref="I127:I134"/>
    <mergeCell ref="J127:J134"/>
    <mergeCell ref="B115:B117"/>
    <mergeCell ref="F115:F118"/>
    <mergeCell ref="G115:G118"/>
    <mergeCell ref="H115:H118"/>
    <mergeCell ref="I115:I118"/>
    <mergeCell ref="J115:J118"/>
    <mergeCell ref="B119:B121"/>
    <mergeCell ref="F119:F122"/>
    <mergeCell ref="G119:G122"/>
    <mergeCell ref="H119:H122"/>
    <mergeCell ref="I119:I122"/>
    <mergeCell ref="J119:J122"/>
    <mergeCell ref="A104:A110"/>
    <mergeCell ref="B104:B109"/>
    <mergeCell ref="F104:F110"/>
    <mergeCell ref="G104:G110"/>
    <mergeCell ref="H104:H110"/>
    <mergeCell ref="I104:I110"/>
    <mergeCell ref="J104:J110"/>
    <mergeCell ref="F111:F114"/>
    <mergeCell ref="G111:G114"/>
    <mergeCell ref="H111:H114"/>
    <mergeCell ref="I111:I114"/>
    <mergeCell ref="J111:J114"/>
    <mergeCell ref="A111:A114"/>
    <mergeCell ref="B111:B113"/>
    <mergeCell ref="B83:B85"/>
    <mergeCell ref="J83:J86"/>
    <mergeCell ref="F95:F98"/>
    <mergeCell ref="H95:H98"/>
    <mergeCell ref="J95:J98"/>
    <mergeCell ref="A100:A103"/>
    <mergeCell ref="B100:B102"/>
    <mergeCell ref="F100:F103"/>
    <mergeCell ref="G100:G103"/>
    <mergeCell ref="H100:H103"/>
    <mergeCell ref="I100:I103"/>
    <mergeCell ref="J100:J103"/>
    <mergeCell ref="I87:I90"/>
    <mergeCell ref="I83:I86"/>
    <mergeCell ref="A71:A74"/>
    <mergeCell ref="B67:B69"/>
    <mergeCell ref="F67:F70"/>
    <mergeCell ref="G67:G70"/>
    <mergeCell ref="H67:H70"/>
    <mergeCell ref="I67:I70"/>
    <mergeCell ref="J67:J70"/>
    <mergeCell ref="G71:G74"/>
    <mergeCell ref="H71:H74"/>
    <mergeCell ref="J71:J74"/>
    <mergeCell ref="A59:A62"/>
    <mergeCell ref="B59:B61"/>
    <mergeCell ref="F59:F62"/>
    <mergeCell ref="G59:G62"/>
    <mergeCell ref="H59:H62"/>
    <mergeCell ref="I59:I62"/>
    <mergeCell ref="J59:J62"/>
    <mergeCell ref="F51:F54"/>
    <mergeCell ref="G51:G54"/>
    <mergeCell ref="H51:H54"/>
    <mergeCell ref="A43:A46"/>
    <mergeCell ref="B43:B45"/>
    <mergeCell ref="F43:F46"/>
    <mergeCell ref="G43:G46"/>
    <mergeCell ref="H43:H46"/>
    <mergeCell ref="I43:I46"/>
    <mergeCell ref="J43:J46"/>
    <mergeCell ref="J47:J50"/>
    <mergeCell ref="B47:B49"/>
    <mergeCell ref="F47:F50"/>
    <mergeCell ref="G47:G50"/>
    <mergeCell ref="H47:H50"/>
    <mergeCell ref="I47:I50"/>
    <mergeCell ref="A35:A38"/>
    <mergeCell ref="B35:B37"/>
    <mergeCell ref="F35:F38"/>
    <mergeCell ref="G35:G38"/>
    <mergeCell ref="H35:H38"/>
    <mergeCell ref="I35:I38"/>
    <mergeCell ref="J35:J38"/>
    <mergeCell ref="B39:B41"/>
    <mergeCell ref="F39:F42"/>
    <mergeCell ref="G39:G42"/>
    <mergeCell ref="H39:H42"/>
    <mergeCell ref="I39:I42"/>
    <mergeCell ref="J39:J42"/>
    <mergeCell ref="A14:A15"/>
    <mergeCell ref="B17:B20"/>
    <mergeCell ref="F17:F21"/>
    <mergeCell ref="G17:G21"/>
    <mergeCell ref="H17:H21"/>
    <mergeCell ref="I17:I21"/>
    <mergeCell ref="J17:J21"/>
    <mergeCell ref="J26:J29"/>
    <mergeCell ref="G22:G25"/>
    <mergeCell ref="H22:H25"/>
    <mergeCell ref="I22:I25"/>
    <mergeCell ref="J22:J25"/>
    <mergeCell ref="B26:B28"/>
    <mergeCell ref="F26:F29"/>
    <mergeCell ref="G26:G29"/>
    <mergeCell ref="H26:H29"/>
    <mergeCell ref="I26:I29"/>
    <mergeCell ref="F75:F78"/>
    <mergeCell ref="B71:B73"/>
    <mergeCell ref="B95:B97"/>
    <mergeCell ref="B13:B15"/>
    <mergeCell ref="F13:F16"/>
    <mergeCell ref="J13:J16"/>
    <mergeCell ref="J9:J12"/>
    <mergeCell ref="F9:F12"/>
    <mergeCell ref="G13:G16"/>
    <mergeCell ref="F31:F34"/>
    <mergeCell ref="G31:G34"/>
    <mergeCell ref="H31:H34"/>
    <mergeCell ref="I31:I34"/>
    <mergeCell ref="B31:B33"/>
    <mergeCell ref="I51:I54"/>
    <mergeCell ref="J51:J54"/>
    <mergeCell ref="B51:B53"/>
    <mergeCell ref="G55:G58"/>
    <mergeCell ref="F55:F58"/>
    <mergeCell ref="H55:H58"/>
    <mergeCell ref="I55:I58"/>
    <mergeCell ref="J55:J58"/>
    <mergeCell ref="B63:B65"/>
    <mergeCell ref="J63:J66"/>
    <mergeCell ref="A135:A138"/>
    <mergeCell ref="B135:B137"/>
    <mergeCell ref="F135:F138"/>
    <mergeCell ref="G135:G138"/>
    <mergeCell ref="H135:H138"/>
    <mergeCell ref="I135:I138"/>
    <mergeCell ref="J135:J138"/>
    <mergeCell ref="B147:B149"/>
    <mergeCell ref="F147:F150"/>
    <mergeCell ref="G147:G150"/>
    <mergeCell ref="H147:H150"/>
    <mergeCell ref="I147:I150"/>
    <mergeCell ref="J147:J150"/>
    <mergeCell ref="B139:B141"/>
    <mergeCell ref="F139:F142"/>
    <mergeCell ref="G139:G142"/>
    <mergeCell ref="H139:H142"/>
    <mergeCell ref="I139:I142"/>
    <mergeCell ref="J139:J142"/>
    <mergeCell ref="J143:J146"/>
    <mergeCell ref="J79:J82"/>
    <mergeCell ref="I79:I82"/>
    <mergeCell ref="G87:G90"/>
    <mergeCell ref="G63:G66"/>
    <mergeCell ref="H63:H66"/>
    <mergeCell ref="I63:I66"/>
    <mergeCell ref="G75:G78"/>
    <mergeCell ref="H75:H78"/>
    <mergeCell ref="I75:I78"/>
    <mergeCell ref="J75:J78"/>
    <mergeCell ref="B3:C4"/>
    <mergeCell ref="B9:B11"/>
    <mergeCell ref="G9:G12"/>
    <mergeCell ref="H9:H12"/>
    <mergeCell ref="I9:I12"/>
    <mergeCell ref="F22:F25"/>
    <mergeCell ref="H13:H16"/>
    <mergeCell ref="I13:I16"/>
    <mergeCell ref="I95:I98"/>
    <mergeCell ref="F91:F94"/>
    <mergeCell ref="G91:G94"/>
    <mergeCell ref="B91:B93"/>
    <mergeCell ref="B22:B24"/>
    <mergeCell ref="B55:B57"/>
    <mergeCell ref="H87:H90"/>
    <mergeCell ref="H79:H82"/>
    <mergeCell ref="F79:F82"/>
    <mergeCell ref="B79:B81"/>
    <mergeCell ref="B87:B89"/>
    <mergeCell ref="F83:F86"/>
    <mergeCell ref="F87:F90"/>
    <mergeCell ref="F63:F66"/>
    <mergeCell ref="F71:F74"/>
    <mergeCell ref="B75:B77"/>
    <mergeCell ref="AB6:AB7"/>
    <mergeCell ref="F159:F162"/>
    <mergeCell ref="I143:I146"/>
    <mergeCell ref="B151:B153"/>
    <mergeCell ref="F151:F154"/>
    <mergeCell ref="G159:G162"/>
    <mergeCell ref="G151:G154"/>
    <mergeCell ref="F143:F146"/>
    <mergeCell ref="B143:B145"/>
    <mergeCell ref="I151:I154"/>
    <mergeCell ref="H151:H154"/>
    <mergeCell ref="J31:J34"/>
    <mergeCell ref="I71:I74"/>
    <mergeCell ref="H91:H94"/>
    <mergeCell ref="I91:I94"/>
    <mergeCell ref="J91:J94"/>
    <mergeCell ref="G95:G98"/>
    <mergeCell ref="H143:H146"/>
    <mergeCell ref="G143:G146"/>
    <mergeCell ref="J151:J154"/>
    <mergeCell ref="J87:J90"/>
    <mergeCell ref="G83:G86"/>
    <mergeCell ref="H83:H86"/>
    <mergeCell ref="G79:G82"/>
  </mergeCells>
  <phoneticPr fontId="30" type="noConversion"/>
  <pageMargins left="0.51181102362204722" right="0" top="0.55118110236220474" bottom="0.35433070866141736" header="0.31496062992125984" footer="0.19685039370078741"/>
  <pageSetup scale="28" fitToHeight="0" orientation="portrait" r:id="rId1"/>
  <rowBreaks count="4" manualBreakCount="4">
    <brk id="16" max="28" man="1"/>
    <brk id="29" max="28" man="1"/>
    <brk id="50" max="28" man="1"/>
    <brk id="150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Lista precios</vt:lpstr>
      <vt:lpstr>'Lista precios'!Área_de_impresión</vt:lpstr>
      <vt:lpstr>'Lista precios'!Títulos_a_imprimir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FABIAN CAMILLA HIDALGO</dc:creator>
  <cp:lastModifiedBy>Marcelo Hurtado</cp:lastModifiedBy>
  <cp:lastPrinted>2025-08-04T16:10:07Z</cp:lastPrinted>
  <dcterms:created xsi:type="dcterms:W3CDTF">2024-07-01T17:54:07Z</dcterms:created>
  <dcterms:modified xsi:type="dcterms:W3CDTF">2026-05-06T16:25:13Z</dcterms:modified>
</cp:coreProperties>
</file>